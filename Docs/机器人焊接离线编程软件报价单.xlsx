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imovr\Desktop\TEmp\Si_FastSuite\Docs\"/>
    </mc:Choice>
  </mc:AlternateContent>
  <bookViews>
    <workbookView windowWidth="28800" windowHeight="12420"/>
  </bookViews>
  <sheets>
    <sheet name="机器人焊接离线编程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<sst xmlns="http://schemas.openxmlformats.org/spreadsheetml/2006/main" count="164" uniqueCount="131">
  <si>
    <t>报 价 单</t>
  </si>
  <si>
    <t>联系人：</t>
  </si>
  <si>
    <t xml:space="preserve">陈磊      </t>
  </si>
  <si>
    <t>电话：</t>
  </si>
  <si>
    <t>13482519756    021-52233637</t>
  </si>
  <si>
    <t>电子邮箱：</t>
  </si>
  <si>
    <t>mimo@mimovr.com</t>
  </si>
  <si>
    <t>米茂（上海）数字技术有限公司</t>
  </si>
  <si>
    <t>报价编号：</t>
  </si>
  <si>
    <t>20261022-4</t>
  </si>
  <si>
    <t>上海市闵行区中春路8633万科虹桥云27幢239室</t>
  </si>
  <si>
    <t>报价日期：</t>
  </si>
  <si>
    <t>项目名称: 机器人焊接离线编程（OLP）仿真软件开发</t>
  </si>
  <si>
    <t>三维底座与工位场景模块</t>
  </si>
  <si>
    <t>序号</t>
  </si>
  <si>
    <t>开发项目</t>
  </si>
  <si>
    <t>开发内容</t>
  </si>
  <si>
    <t>描述</t>
  </si>
  <si>
    <t>单价</t>
  </si>
  <si>
    <t>单位</t>
  </si>
  <si>
    <t>数量</t>
  </si>
  <si>
    <t>合计</t>
  </si>
  <si>
    <t>备注</t>
  </si>
  <si>
    <t>应用框架与三维视口</t>
  </si>
  <si>
    <t>工作台与工程框架</t>
  </si>
  <si>
    <t>主窗口与可停靠面板布局、布局工作台与编程工作台切换、单工程文档模型与日志转储</t>
  </si>
  <si>
    <t>人/天</t>
  </si>
  <si>
    <t>M01 / M03 核心底座</t>
  </si>
  <si>
    <t>命令系统与撤销重做</t>
  </si>
  <si>
    <t>全操作命令化封装、连续拖拽合并、多级撤销/重做（Undo/Redo）栈、选择集与事件总线</t>
  </si>
  <si>
    <t>三维视图与显示模式</t>
  </si>
  <si>
    <t>基于 OCCT AIS 的三维视口、旋转/平移/缩放、视图立方体、着色/边线/线框/透明度控制</t>
  </si>
  <si>
    <t>子形状拾取与高亮</t>
  </si>
  <si>
    <t>零件级、面级、边级、顶点级拾取模式切换；悬停预高亮、选中高亮与碰撞/问题点染色</t>
  </si>
  <si>
    <t>专用 TcpGizmo 操纵器</t>
  </si>
  <si>
    <t>不挂接对象的平移/旋转手柄、世界/工具/用户/焊缝参考系切换、步进吸附、拖动预览与松手提交</t>
  </si>
  <si>
    <t>CAD几何内核与场景导入</t>
  </si>
  <si>
    <t>几何内核抽象接口</t>
  </si>
  <si>
    <t>构建 ICadKernel 统一几何抽象层，隔离 OpenCASCADE 实现，支持拓扑遍历与包围盒查询</t>
  </si>
  <si>
    <t>M02 几何内核适配层</t>
  </si>
  <si>
    <t>STEP与网格资产导入</t>
  </si>
  <si>
    <t>读取 STEP（.step/.stp）装配树结构、名称、颜色与单位换算；支持 STL/OBJ 辅助几何导入</t>
  </si>
  <si>
    <t>曲线与曲面几何求值</t>
  </si>
  <si>
    <t>按弧长参数计算边上坐标与切向（含反向边处理）；边上点投影至相邻面求取 UV 与外法向</t>
  </si>
  <si>
    <t>双精度网格离散化</t>
  </si>
  <si>
    <t>分离生成高精度视觉渲染网格与粗粒度碰撞检测网格；生成边/面几何签名实现持久化引用</t>
  </si>
  <si>
    <t>工位布局与整场景替换</t>
  </si>
  <si>
    <t>场景装配树管理</t>
  </si>
  <si>
    <t>树状管理工件、夹具、机器人、焊枪节点；支持重命名、显隐、锁定、删除与父子层级调整</t>
  </si>
  <si>
    <t>M04 工位布局工作台</t>
  </si>
  <si>
    <t>整场景机器人对齐替换</t>
  </si>
  <si>
    <t>导入带静态机器人外形的整场景 STEP，拾取底座安装面对齐并替换为库内同型号可动机器人</t>
  </si>
  <si>
    <t>焊枪挂载与坐标系标定</t>
  </si>
  <si>
    <t>焊枪挂载至六轴法兰、拾取焊丝尖端定义工具坐标系（UTOOL）、三点法与数值法定义用户坐标系（UFRAME）</t>
  </si>
  <si>
    <t>小计：</t>
  </si>
  <si>
    <t>机器人运动学与焊缝路径模块</t>
  </si>
  <si>
    <t>设备库与运动学引擎</t>
  </si>
  <si>
    <t>机器人运动学模型库</t>
  </si>
  <si>
    <t>自定义机器人 JSON 格式（OPW 参数、关节限位、连杆网格、Home 点），内置标准 FANUC 弧焊机型</t>
  </si>
  <si>
    <t>M05 / M06 运动学内核</t>
  </si>
  <si>
    <t>正逆运动学闭式求解</t>
  </si>
  <si>
    <t>六轴正运动学（FK）与 OPW 解析逆运动学（IK）8 组基本解、J4/J6 多圈展开与手系配置字换算</t>
  </si>
  <si>
    <t>J2/J3耦合与连续选解</t>
  </si>
  <si>
    <t>处理 FANUC 特有 J2/J3 轴耦合换算；支持配置字锁定、最小关节距离连续选解并禁止焊接段换解</t>
  </si>
  <si>
    <t>限位奇异点与点动控制</t>
  </si>
  <si>
    <t>各轴软限位与接近预警、腕部/肘部/肩部三大奇异点检测（雅可比指标）、J1-J6 关节与笛卡尔点动面板</t>
  </si>
  <si>
    <t>焊缝定义与路径自动生成</t>
  </si>
  <si>
    <t>选边与边链焊缝定义</t>
  </si>
  <si>
    <t>拾取单条边并自动沿切线连续相邻边扩展为焊缝边链；支持起止点内缩/外延与方向反转</t>
  </si>
  <si>
    <t>M07 工艺几何与生成</t>
  </si>
  <si>
    <t>跨零件两侧面自动识别</t>
  </si>
  <si>
    <t>针对 T 型角焊与搭接焊，自动识别同一实体相邻面或相邻零件贴合面，提供焊接侧预览箭头切换</t>
  </si>
  <si>
    <t>焊缝坐标系与姿态生成</t>
  </si>
  <si>
    <t>沿焊缝弧长采样计算切向与两面外法向角平分线，结合工作角、行走角、自转角偏置生成焊枪姿态</t>
  </si>
  <si>
    <t>切入切出与路径离散</t>
  </si>
  <si>
    <t>按步长或弦高误差离散路径点（直线焊缝自动取端点），沿焊枪反方向自动生成安全切入与切出过渡点</t>
  </si>
  <si>
    <t>路径交互编辑与焊接工艺</t>
  </si>
  <si>
    <t>程序树与路径点增删改</t>
  </si>
  <si>
    <t>控制器单元-程序-操作-路径点树管理；支持路径点插入、删除、重排、复制、反向（自动互换起收弧）</t>
  </si>
  <si>
    <t>M08 / M09 路径与事件</t>
  </si>
  <si>
    <t>多维位姿与焊接角编辑</t>
  </si>
  <si>
    <t>支持拖拽 TcpGizmo 机器人实时逆解跟随、直接修改 X/Y/Z/W/P/R 数值、或按工作角/行走角/自转角微调</t>
  </si>
  <si>
    <t>多点姿态插值与保留手改</t>
  </si>
  <si>
    <t>选中首尾两点对中间点按弧长执行四元数球面线性插值（SLERP）；重生成路径时保留人工修改点</t>
  </si>
  <si>
    <t>焊接工艺事件与参数绑定</t>
  </si>
  <si>
    <t>设置运动模式（J/L）、速度、平滑度（FINE/CNT）、起弧（Arc Start[n]）与收弧（Arc End[n]）及参数表</t>
  </si>
  <si>
    <t>碰撞检测、避障与运动仿真模块</t>
  </si>
  <si>
    <t>可达性与空间碰撞检测</t>
  </si>
  <si>
    <t>碰撞矩阵与焊丝尖端豁免</t>
  </si>
  <si>
    <t>按分组配置碰撞检测矩阵（机器人/焊枪 vs 工件/夹具），自动忽略相邻连杆，支持焊丝尖端接触豁免</t>
  </si>
  <si>
    <t>M10 校验与避障辅助</t>
  </si>
  <si>
    <t>BVH加速离散与段内检测</t>
  </si>
  <si>
    <t>基于 FCL/Coal 构建粗网格与凸包 BVH 加速结构，支持单点离散检测及两点间插补采样防漏检</t>
  </si>
  <si>
    <t>可达性扫描与问题列表</t>
  </si>
  <si>
    <t>批量求解整条路径的不可达、超限、奇异点、配置跳变与碰撞状态，汇总至问题列表并支持点击跳转</t>
  </si>
  <si>
    <t>绕焊丝轴自转避障扫描</t>
  </si>
  <si>
    <t>在 [-180°, 180°] 范围扫描绕焊丝轴自转角，绘制绿/黄/红可行性扇形环，辅助拖拽快速解除干涉</t>
  </si>
  <si>
    <t>轨迹插补与时间轴仿真</t>
  </si>
  <si>
    <t>关节与笛卡尔直线插补</t>
  </si>
  <si>
    <t>实现关节空间同步插补（J）与笛卡尔直线+姿态 SLERP 插补（L），逐采样帧求逆解并保持配置一致</t>
  </si>
  <si>
    <t>M11 运动仿真播放器</t>
  </si>
  <si>
    <t>速度规划与节拍估算</t>
  </si>
  <si>
    <t>基于梯形/S形速度曲线与关节速度限制进行时间参数化，估算总周期时间、焊接时间与空走时间</t>
  </si>
  <si>
    <t>时间轴播放与焊道渲染</t>
  </si>
  <si>
    <t>支持播放、暂停、停止、单步、倍速、进度条拖拽及起始状态（Start State）复位；动态绘制虚拟焊道</t>
  </si>
  <si>
    <t>仿真关键帧序列烘焙</t>
  </si>
  <si>
    <t>将仿真结果烘焙为“时间-各连杆变换矩阵”标准关键帧序列，供 HTML 动画包与 3D PDF 导出复用</t>
  </si>
  <si>
    <t>离线程序后置、报告导出与系统交付</t>
  </si>
  <si>
    <t>FANUC .ls 后置处理器</t>
  </si>
  <si>
    <t>中立指令与标准语法生成</t>
  </si>
  <si>
    <t>构建品牌无关指令序列，按 FANUC 规范输出包含 /PROG、/ATTR、/APPL、/MN、/POS、/END 的 .ls 文件</t>
  </si>
  <si>
    <t>M12 离线代码生成</t>
  </si>
  <si>
    <t>WPR欧拉角与配置字转换</t>
  </si>
  <si>
    <t>实现相对 UFRAME 的位姿矩阵至 FANUC W/P/R 欧拉角转换（含万向锁处理）及 'N U T, 0, 0, 0' 配置字生成</t>
  </si>
  <si>
    <t>语法校验与代码预览</t>
  </si>
  <si>
    <t>支持程序命名/注释/行数限制校验、关节点（Home）耦合换算输出、后处理配置及导出前文本预览</t>
  </si>
  <si>
    <t>工艺报告与三维动画导出</t>
  </si>
  <si>
    <t>2D PDF 工艺报表生成</t>
  </si>
  <si>
    <t>自动导出工位信息、UTOOL/UFRAME 参数、焊缝表、点位坐标明细、节拍及多视角离屏高清截图</t>
  </si>
  <si>
    <t>M13 报告与可播放预览</t>
  </si>
  <si>
    <t>单文件离线 HTML 动画包</t>
  </si>
  <si>
    <t>将减面场景网格、路径线与烘焙关键帧封装为内嵌 Three.js 与 Base64 GLB 的单文件 HTML，双击免安装播放</t>
  </si>
  <si>
    <t>3D PDF 交互动画导出</t>
  </si>
  <si>
    <t>将场景网格与关键帧动画写入 U3D/PRC 三维注释流及 Acrobat 3D 脚本，支持旋转与播放预览（含体积控制）</t>
  </si>
  <si>
    <t>工程存取与真机闭环验证</t>
  </si>
  <si>
    <t>工程文件打包与自动恢复</t>
  </si>
  <si>
    <t>采用 zip 工程包存储场景、程序、焊缝定义及 .brep/网格缓存；支持版本迁移、定时自动保存与崩溃恢复</t>
  </si>
  <si>
    <t>M14 / M15 工程化交付</t>
  </si>
  <si>
    <t>单元测试与真机联调验收</t>
  </si>
  <si>
    <t>建立运动学与后处理金样本单元测试、典型焊接工件回归库；配合完成 ROBOGUIDE 与真机验证及安装包制作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</si>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</sst>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\¥#,##0.00;[Red]\¥#,##0.00"/>
  </numFmts>
  <fonts count="69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3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indexed="9"/>
      <name val="宋体"/>
      <charset val="134"/>
    </font>
    <font>
      <sz val="11"/>
      <color indexed="42"/>
      <name val="微软雅黑"/>
      <charset val="134"/>
    </font>
    <font>
      <sz val="10"/>
      <name val="MS Sans Serif"/>
      <charset val="134"/>
    </font>
    <font>
      <b/>
      <sz val="15"/>
      <color indexed="56"/>
      <name val="宋体"/>
      <charset val="134"/>
    </font>
    <font>
      <b/>
      <sz val="15"/>
      <color indexed="62"/>
      <name val="微软雅黑"/>
      <charset val="134"/>
    </font>
    <font>
      <b/>
      <sz val="13"/>
      <color indexed="56"/>
      <name val="宋体"/>
      <charset val="134"/>
    </font>
    <font>
      <b/>
      <sz val="13"/>
      <color indexed="62"/>
      <name val="微软雅黑"/>
      <charset val="134"/>
    </font>
    <font>
      <b/>
      <sz val="11"/>
      <color indexed="56"/>
      <name val="宋体"/>
      <charset val="134"/>
    </font>
    <font>
      <b/>
      <sz val="11"/>
      <color indexed="62"/>
      <name val="微软雅黑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宋体"/>
      <charset val="134"/>
    </font>
    <font>
      <sz val="11"/>
      <color indexed="20"/>
      <name val="微软雅黑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indexed="17"/>
      <name val="微软雅黑"/>
      <charset val="134"/>
    </font>
    <font>
      <b/>
      <sz val="11"/>
      <color indexed="8"/>
      <name val="宋体"/>
      <charset val="134"/>
    </font>
    <font>
      <b/>
      <sz val="11"/>
      <color indexed="8"/>
      <name val="微软雅黑"/>
      <charset val="134"/>
    </font>
    <font>
      <b/>
      <sz val="11"/>
      <color indexed="52"/>
      <name val="宋体"/>
      <charset val="134"/>
    </font>
    <font>
      <b/>
      <sz val="11"/>
      <color indexed="52"/>
      <name val="微软雅黑"/>
      <charset val="134"/>
    </font>
    <font>
      <b/>
      <sz val="11"/>
      <color indexed="9"/>
      <name val="宋体"/>
      <charset val="134"/>
    </font>
    <font>
      <b/>
      <sz val="11"/>
      <color indexed="42"/>
      <name val="微软雅黑"/>
      <charset val="134"/>
    </font>
    <font>
      <i/>
      <sz val="11"/>
      <color indexed="23"/>
      <name val="宋体"/>
      <charset val="134"/>
    </font>
    <font>
      <i/>
      <sz val="11"/>
      <color indexed="23"/>
      <name val="微软雅黑"/>
      <charset val="134"/>
    </font>
    <font>
      <sz val="11"/>
      <color indexed="10"/>
      <name val="宋体"/>
      <charset val="134"/>
    </font>
    <font>
      <sz val="11"/>
      <color indexed="10"/>
      <name val="微软雅黑"/>
      <charset val="134"/>
    </font>
    <font>
      <sz val="11"/>
      <color indexed="52"/>
      <name val="宋体"/>
      <charset val="134"/>
    </font>
    <font>
      <sz val="11"/>
      <color indexed="52"/>
      <name val="微软雅黑"/>
      <charset val="134"/>
    </font>
    <font>
      <sz val="11"/>
      <color indexed="8"/>
      <name val="等线"/>
      <charset val="134"/>
      <scheme val="minor"/>
    </font>
    <font>
      <sz val="11"/>
      <color indexed="60"/>
      <name val="宋体"/>
      <charset val="134"/>
    </font>
    <font>
      <sz val="11"/>
      <color indexed="60"/>
      <name val="微软雅黑"/>
      <charset val="134"/>
    </font>
    <font>
      <b/>
      <sz val="11"/>
      <color indexed="63"/>
      <name val="宋体"/>
      <charset val="134"/>
    </font>
    <font>
      <b/>
      <sz val="11"/>
      <color indexed="63"/>
      <name val="微软雅黑"/>
      <charset val="134"/>
    </font>
    <font>
      <sz val="11"/>
      <color indexed="62"/>
      <name val="宋体"/>
      <charset val="134"/>
    </font>
    <font>
      <sz val="11"/>
      <color indexed="62"/>
      <name val="微软雅黑"/>
      <charset val="134"/>
    </font>
    <font>
      <sz val="10"/>
      <name val="Geneva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84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/>
    <xf numFmtId="0" fontId="10" fillId="0" borderId="0">
      <alignment vertical="center"/>
    </xf>
    <xf numFmtId="0" fontId="0" fillId="4" borderId="2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5">
      <alignment vertical="center"/>
    </xf>
    <xf numFmtId="0" fontId="15" fillId="0" borderId="25">
      <alignment vertical="center"/>
    </xf>
    <xf numFmtId="0" fontId="16" fillId="0" borderId="26">
      <alignment vertical="center"/>
    </xf>
    <xf numFmtId="0" fontId="16" fillId="0" borderId="0">
      <alignment vertical="center"/>
    </xf>
    <xf numFmtId="0" fontId="17" fillId="5" borderId="27">
      <alignment vertical="center"/>
    </xf>
    <xf numFmtId="0" fontId="18" fillId="6" borderId="28">
      <alignment vertical="center"/>
    </xf>
    <xf numFmtId="0" fontId="19" fillId="6" borderId="27">
      <alignment vertical="center"/>
    </xf>
    <xf numFmtId="0" fontId="20" fillId="7" borderId="29">
      <alignment vertical="center"/>
    </xf>
    <xf numFmtId="0" fontId="21" fillId="0" borderId="30">
      <alignment vertical="center"/>
    </xf>
    <xf numFmtId="0" fontId="22" fillId="0" borderId="31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8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>
      <alignment vertical="center"/>
    </xf>
    <xf numFmtId="0" fontId="29" fillId="0" borderId="0"/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2" fillId="40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2" fillId="36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2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2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2" fillId="44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2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2" fillId="47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2" fillId="44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2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2" fillId="3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4" fillId="50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4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4" fillId="47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4" fillId="44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4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4" fillId="38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5" fillId="0" borderId="0"/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7" fillId="0" borderId="33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6" fillId="0" borderId="32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9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38" fillId="0" borderId="34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1" fillId="0" borderId="36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35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5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46" fillId="0" borderId="0"/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8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50" fillId="0" borderId="38">
      <alignment vertical="center"/>
    </xf>
    <xf numFmtId="0" fontId="50" fillId="0" borderId="38">
      <alignment vertical="center"/>
    </xf>
    <xf numFmtId="0" fontId="50" fillId="0" borderId="38">
      <alignment vertical="center"/>
    </xf>
    <xf numFmtId="0" fontId="50" fillId="0" borderId="38">
      <alignment vertical="center"/>
    </xf>
    <xf numFmtId="0" fontId="50" fillId="0" borderId="38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0" fontId="49" fillId="0" borderId="37">
      <alignment vertical="center"/>
    </xf>
    <xf numFmtId="176" fontId="46" fillId="0" borderId="0"/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2" fillId="36" borderId="39">
      <alignment vertical="center"/>
    </xf>
    <xf numFmtId="0" fontId="52" fillId="36" borderId="39">
      <alignment vertical="center"/>
    </xf>
    <xf numFmtId="0" fontId="52" fillId="36" borderId="39">
      <alignment vertical="center"/>
    </xf>
    <xf numFmtId="0" fontId="52" fillId="36" borderId="39">
      <alignment vertical="center"/>
    </xf>
    <xf numFmtId="0" fontId="52" fillId="36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1" fillId="44" borderId="39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4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3" fillId="53" borderId="4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60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59" fillId="0" borderId="41">
      <alignment vertical="center"/>
    </xf>
    <xf numFmtId="0" fontId="31" fillId="0" borderId="0">
      <alignment vertical="center"/>
    </xf>
    <xf numFmtId="0" fontId="31" fillId="0" borderId="0">
      <alignment vertical="center"/>
    </xf>
    <xf numFmtId="43" fontId="29" fillId="0" borderId="0">
      <alignment vertical="center"/>
    </xf>
    <xf numFmtId="43" fontId="30" fillId="0" borderId="0">
      <alignment vertical="center"/>
    </xf>
    <xf numFmtId="43" fontId="29" fillId="0" borderId="0">
      <alignment vertical="center"/>
    </xf>
    <xf numFmtId="43" fontId="29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1" fillId="0" borderId="0">
      <alignment vertical="center"/>
    </xf>
    <xf numFmtId="43" fontId="31" fillId="0" borderId="0">
      <alignment vertical="center"/>
    </xf>
    <xf numFmtId="43" fontId="31" fillId="0" borderId="0">
      <alignment vertical="center"/>
    </xf>
    <xf numFmtId="43" fontId="29" fillId="0" borderId="0"/>
    <xf numFmtId="43" fontId="61" fillId="0" borderId="0">
      <alignment vertical="center"/>
    </xf>
    <xf numFmtId="43" fontId="61" fillId="0" borderId="0">
      <alignment vertical="center"/>
    </xf>
    <xf numFmtId="43" fontId="61" fillId="0" borderId="0">
      <alignment vertical="center"/>
    </xf>
    <xf numFmtId="43" fontId="30" fillId="0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4" fillId="50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4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4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4" fillId="57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4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4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3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5" fillId="36" borderId="42">
      <alignment vertical="center"/>
    </xf>
    <xf numFmtId="0" fontId="65" fillId="36" borderId="42">
      <alignment vertical="center"/>
    </xf>
    <xf numFmtId="0" fontId="65" fillId="36" borderId="42">
      <alignment vertical="center"/>
    </xf>
    <xf numFmtId="0" fontId="65" fillId="36" borderId="42">
      <alignment vertical="center"/>
    </xf>
    <xf numFmtId="0" fontId="65" fillId="36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4" fillId="44" borderId="42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7" fillId="38" borderId="39">
      <alignment vertical="center"/>
    </xf>
    <xf numFmtId="0" fontId="67" fillId="38" borderId="39">
      <alignment vertical="center"/>
    </xf>
    <xf numFmtId="0" fontId="67" fillId="38" borderId="39">
      <alignment vertical="center"/>
    </xf>
    <xf numFmtId="0" fontId="67" fillId="38" borderId="39">
      <alignment vertical="center"/>
    </xf>
    <xf numFmtId="0" fontId="67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6" fillId="38" borderId="39">
      <alignment vertical="center"/>
    </xf>
    <xf numFmtId="0" fontId="68" fillId="0" borderId="0"/>
    <xf numFmtId="0" fontId="46" fillId="0" borderId="0"/>
    <xf numFmtId="0" fontId="46" fillId="0" borderId="0"/>
    <xf numFmtId="0" fontId="29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1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29" fillId="40" borderId="43">
      <alignment vertical="center"/>
    </xf>
    <xf numFmtId="0" fontId="31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  <xf numFmtId="0" fontId="30" fillId="40" borderId="43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177" fontId="4" fillId="2" borderId="9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10" xfId="0" applyFont="1" applyBorder="1" applyAlignment="1">
      <alignment horizontal="center" vertical="center" wrapText="1"/>
    </xf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" fillId="0" borderId="19" xfId="0" applyFont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77" fontId="7" fillId="2" borderId="20" xfId="0" applyNumberFormat="1" applyFont="1" applyFill="1" applyBorder="1" applyAlignment="1">
      <alignment horizontal="center" vertical="center"/>
    </xf>
    <xf numFmtId="0" fontId="1" fillId="0" borderId="21" xfId="0" applyFont="1" applyBorder="1"/>
    <xf numFmtId="0" fontId="5" fillId="2" borderId="22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2" borderId="23" xfId="0" applyFont="1" applyFill="1" applyBorder="1" applyAlignment="1">
      <alignment vertical="top"/>
    </xf>
    <xf numFmtId="0" fontId="8" fillId="0" borderId="0" xfId="0" applyFont="1" applyAlignment="1">
      <alignment vertical="top" wrapText="1"/>
    </xf>
  </cellXfs>
  <cellStyles count="16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2 2" xfId="51"/>
    <cellStyle name="_ET_STYLE_NoName_00_ 2 3" xfId="52"/>
    <cellStyle name="_ET_STYLE_NoName_00_ 2 3 2" xfId="53"/>
    <cellStyle name="_ET_STYLE_NoName_00_ 3" xfId="54"/>
    <cellStyle name="_ET_STYLE_NoName_00_ 4" xfId="55"/>
    <cellStyle name="_ET_STYLE_NoName_00_ 4 2" xfId="56"/>
    <cellStyle name="_ET_STYLE_NoName_00_ 4 3" xfId="57"/>
    <cellStyle name="_ET_STYLE_NoName_00_ 4 4" xfId="58"/>
    <cellStyle name="_ET_STYLE_NoName_00_ 5" xfId="59"/>
    <cellStyle name="0,0_x000a__x000a_NA_x000a__x000a_" xfId="60"/>
    <cellStyle name="0,0_x005f_x000d__x000a_NA_x005f_x000d__x000a_" xfId="61"/>
    <cellStyle name="20% - 强调文字颜色 1 2" xfId="62"/>
    <cellStyle name="20% - 强调文字颜色 1 2 2" xfId="63"/>
    <cellStyle name="20% - 强调文字颜色 1 2 2 2" xfId="64"/>
    <cellStyle name="20% - 强调文字颜色 1 2 2 2 2" xfId="65"/>
    <cellStyle name="20% - 强调文字颜色 1 2 2 2 2 2" xfId="66"/>
    <cellStyle name="20% - 强调文字颜色 1 2 2 3" xfId="67"/>
    <cellStyle name="20% - 强调文字颜色 1 2 2 3 2" xfId="68"/>
    <cellStyle name="20% - 强调文字颜色 1 2 3" xfId="69"/>
    <cellStyle name="20% - 强调文字颜色 1 2 3 2" xfId="70"/>
    <cellStyle name="20% - 强调文字颜色 1 2 3 2 2" xfId="71"/>
    <cellStyle name="20% - 强调文字颜色 1 2 4" xfId="72"/>
    <cellStyle name="20% - 强调文字颜色 1 2 4 2" xfId="73"/>
    <cellStyle name="20% - 强调文字颜色 1 2 4 2 2" xfId="74"/>
    <cellStyle name="20% - 强调文字颜色 1 2 5" xfId="75"/>
    <cellStyle name="20% - 强调文字颜色 1 2 5 2" xfId="76"/>
    <cellStyle name="20% - 强调文字颜色 1 2 5 3" xfId="77"/>
    <cellStyle name="20% - 强调文字颜色 1 2 6" xfId="78"/>
    <cellStyle name="20% - 强调文字颜色 1 3" xfId="79"/>
    <cellStyle name="20% - 强调文字颜色 1 3 2" xfId="80"/>
    <cellStyle name="20% - 强调文字颜色 1 3 2 2" xfId="81"/>
    <cellStyle name="20% - 强调文字颜色 1 3 2 2 2" xfId="82"/>
    <cellStyle name="20% - 强调文字颜色 1 3 3" xfId="83"/>
    <cellStyle name="20% - 强调文字颜色 1 3 3 2" xfId="84"/>
    <cellStyle name="20% - 强调文字颜色 1 3 3 2 2" xfId="85"/>
    <cellStyle name="20% - 强调文字颜色 1 3 4" xfId="86"/>
    <cellStyle name="20% - 强调文字颜色 1 3 4 2" xfId="87"/>
    <cellStyle name="20% - 强调文字颜色 1 4" xfId="88"/>
    <cellStyle name="20% - 强调文字颜色 1 4 2" xfId="89"/>
    <cellStyle name="20% - 强调文字颜色 1 4 2 2" xfId="90"/>
    <cellStyle name="20% - 强调文字颜色 1 4 2 2 2" xfId="91"/>
    <cellStyle name="20% - 强调文字颜色 1 4 3" xfId="92"/>
    <cellStyle name="20% - 强调文字颜色 1 4 3 2" xfId="93"/>
    <cellStyle name="20% - 强调文字颜色 1 4 3 2 2" xfId="94"/>
    <cellStyle name="20% - 强调文字颜色 1 4 4" xfId="95"/>
    <cellStyle name="20% - 强调文字颜色 1 4 4 2" xfId="96"/>
    <cellStyle name="20% - 强调文字颜色 1 5" xfId="97"/>
    <cellStyle name="20% - 强调文字颜色 1 6" xfId="98"/>
    <cellStyle name="20% - 强调文字颜色 1 6 2" xfId="99"/>
    <cellStyle name="20% - 强调文字颜色 1 6 2 2" xfId="100"/>
    <cellStyle name="20% - 强调文字颜色 2 2" xfId="101"/>
    <cellStyle name="20% - 强调文字颜色 2 2 2" xfId="102"/>
    <cellStyle name="20% - 强调文字颜色 2 2 2 2" xfId="103"/>
    <cellStyle name="20% - 强调文字颜色 2 2 2 2 2" xfId="104"/>
    <cellStyle name="20% - 强调文字颜色 2 2 2 2 2 2" xfId="105"/>
    <cellStyle name="20% - 强调文字颜色 2 2 2 3" xfId="106"/>
    <cellStyle name="20% - 强调文字颜色 2 2 2 3 2" xfId="107"/>
    <cellStyle name="20% - 强调文字颜色 2 2 3" xfId="108"/>
    <cellStyle name="20% - 强调文字颜色 2 2 3 2" xfId="109"/>
    <cellStyle name="20% - 强调文字颜色 2 2 3 2 2" xfId="110"/>
    <cellStyle name="20% - 强调文字颜色 2 2 4" xfId="111"/>
    <cellStyle name="20% - 强调文字颜色 2 2 4 2" xfId="112"/>
    <cellStyle name="20% - 强调文字颜色 2 2 4 2 2" xfId="113"/>
    <cellStyle name="20% - 强调文字颜色 2 2 5" xfId="114"/>
    <cellStyle name="20% - 强调文字颜色 2 2 5 2" xfId="115"/>
    <cellStyle name="20% - 强调文字颜色 2 2 5 3" xfId="116"/>
    <cellStyle name="20% - 强调文字颜色 2 2 6" xfId="117"/>
    <cellStyle name="20% - 强调文字颜色 2 3" xfId="118"/>
    <cellStyle name="20% - 强调文字颜色 2 3 2" xfId="119"/>
    <cellStyle name="20% - 强调文字颜色 2 3 2 2" xfId="120"/>
    <cellStyle name="20% - 强调文字颜色 2 3 2 2 2" xfId="121"/>
    <cellStyle name="20% - 强调文字颜色 2 3 3" xfId="122"/>
    <cellStyle name="20% - 强调文字颜色 2 3 3 2" xfId="123"/>
    <cellStyle name="20% - 强调文字颜色 2 3 3 2 2" xfId="124"/>
    <cellStyle name="20% - 强调文字颜色 2 3 4" xfId="125"/>
    <cellStyle name="20% - 强调文字颜色 2 3 4 2" xfId="126"/>
    <cellStyle name="20% - 强调文字颜色 2 4" xfId="127"/>
    <cellStyle name="20% - 强调文字颜色 2 4 2" xfId="128"/>
    <cellStyle name="20% - 强调文字颜色 2 4 2 2" xfId="129"/>
    <cellStyle name="20% - 强调文字颜色 2 4 2 2 2" xfId="130"/>
    <cellStyle name="20% - 强调文字颜色 2 4 3" xfId="131"/>
    <cellStyle name="20% - 强调文字颜色 2 4 3 2" xfId="132"/>
    <cellStyle name="20% - 强调文字颜色 2 4 3 2 2" xfId="133"/>
    <cellStyle name="20% - 强调文字颜色 2 4 4" xfId="134"/>
    <cellStyle name="20% - 强调文字颜色 2 4 4 2" xfId="135"/>
    <cellStyle name="20% - 强调文字颜色 2 5" xfId="136"/>
    <cellStyle name="20% - 强调文字颜色 2 6" xfId="137"/>
    <cellStyle name="20% - 强调文字颜色 2 6 2" xfId="138"/>
    <cellStyle name="20% - 强调文字颜色 2 6 2 2" xfId="139"/>
    <cellStyle name="20% - 强调文字颜色 3 2" xfId="140"/>
    <cellStyle name="20% - 强调文字颜色 3 2 2" xfId="141"/>
    <cellStyle name="20% - 强调文字颜色 3 2 2 2" xfId="142"/>
    <cellStyle name="20% - 强调文字颜色 3 2 2 2 2" xfId="143"/>
    <cellStyle name="20% - 强调文字颜色 3 2 2 2 2 2" xfId="144"/>
    <cellStyle name="20% - 强调文字颜色 3 2 2 3" xfId="145"/>
    <cellStyle name="20% - 强调文字颜色 3 2 2 3 2" xfId="146"/>
    <cellStyle name="20% - 强调文字颜色 3 2 3" xfId="147"/>
    <cellStyle name="20% - 强调文字颜色 3 2 3 2" xfId="148"/>
    <cellStyle name="20% - 强调文字颜色 3 2 3 2 2" xfId="149"/>
    <cellStyle name="20% - 强调文字颜色 3 2 4" xfId="150"/>
    <cellStyle name="20% - 强调文字颜色 3 2 4 2" xfId="151"/>
    <cellStyle name="20% - 强调文字颜色 3 2 4 2 2" xfId="152"/>
    <cellStyle name="20% - 强调文字颜色 3 2 5" xfId="153"/>
    <cellStyle name="20% - 强调文字颜色 3 2 5 2" xfId="154"/>
    <cellStyle name="20% - 强调文字颜色 3 2 5 3" xfId="155"/>
    <cellStyle name="20% - 强调文字颜色 3 2 6" xfId="156"/>
    <cellStyle name="20% - 强调文字颜色 3 3" xfId="157"/>
    <cellStyle name="20% - 强调文字颜色 3 3 2" xfId="158"/>
    <cellStyle name="20% - 强调文字颜色 3 3 2 2" xfId="159"/>
    <cellStyle name="20% - 强调文字颜色 3 3 2 2 2" xfId="160"/>
    <cellStyle name="20% - 强调文字颜色 3 3 3" xfId="161"/>
    <cellStyle name="20% - 强调文字颜色 3 3 3 2" xfId="162"/>
    <cellStyle name="20% - 强调文字颜色 3 3 3 2 2" xfId="163"/>
    <cellStyle name="20% - 强调文字颜色 3 3 4" xfId="164"/>
    <cellStyle name="20% - 强调文字颜色 3 3 4 2" xfId="165"/>
    <cellStyle name="20% - 强调文字颜色 3 4" xfId="166"/>
    <cellStyle name="20% - 强调文字颜色 3 4 2" xfId="167"/>
    <cellStyle name="20% - 强调文字颜色 3 4 2 2" xfId="168"/>
    <cellStyle name="20% - 强调文字颜色 3 4 2 2 2" xfId="169"/>
    <cellStyle name="20% - 强调文字颜色 3 4 3" xfId="170"/>
    <cellStyle name="20% - 强调文字颜色 3 4 3 2" xfId="171"/>
    <cellStyle name="20% - 强调文字颜色 3 4 3 2 2" xfId="172"/>
    <cellStyle name="20% - 强调文字颜色 3 4 4" xfId="173"/>
    <cellStyle name="20% - 强调文字颜色 3 4 4 2" xfId="174"/>
    <cellStyle name="20% - 强调文字颜色 3 5" xfId="175"/>
    <cellStyle name="20% - 强调文字颜色 3 6" xfId="176"/>
    <cellStyle name="20% - 强调文字颜色 3 6 2" xfId="177"/>
    <cellStyle name="20% - 强调文字颜色 3 6 2 2" xfId="178"/>
    <cellStyle name="20% - 强调文字颜色 4 2" xfId="179"/>
    <cellStyle name="20% - 强调文字颜色 4 2 2" xfId="180"/>
    <cellStyle name="20% - 强调文字颜色 4 2 2 2" xfId="181"/>
    <cellStyle name="20% - 强调文字颜色 4 2 2 2 2" xfId="182"/>
    <cellStyle name="20% - 强调文字颜色 4 2 2 2 2 2" xfId="183"/>
    <cellStyle name="20% - 强调文字颜色 4 2 2 3" xfId="184"/>
    <cellStyle name="20% - 强调文字颜色 4 2 2 3 2" xfId="185"/>
    <cellStyle name="20% - 强调文字颜色 4 2 3" xfId="186"/>
    <cellStyle name="20% - 强调文字颜色 4 2 3 2" xfId="187"/>
    <cellStyle name="20% - 强调文字颜色 4 2 3 2 2" xfId="188"/>
    <cellStyle name="20% - 强调文字颜色 4 2 4" xfId="189"/>
    <cellStyle name="20% - 强调文字颜色 4 2 4 2" xfId="190"/>
    <cellStyle name="20% - 强调文字颜色 4 2 4 2 2" xfId="191"/>
    <cellStyle name="20% - 强调文字颜色 4 2 5" xfId="192"/>
    <cellStyle name="20% - 强调文字颜色 4 2 5 2" xfId="193"/>
    <cellStyle name="20% - 强调文字颜色 4 2 5 3" xfId="194"/>
    <cellStyle name="20% - 强调文字颜色 4 2 6" xfId="195"/>
    <cellStyle name="20% - 强调文字颜色 4 3" xfId="196"/>
    <cellStyle name="20% - 强调文字颜色 4 3 2" xfId="197"/>
    <cellStyle name="20% - 强调文字颜色 4 3 2 2" xfId="198"/>
    <cellStyle name="20% - 强调文字颜色 4 3 2 2 2" xfId="199"/>
    <cellStyle name="20% - 强调文字颜色 4 3 3" xfId="200"/>
    <cellStyle name="20% - 强调文字颜色 4 3 3 2" xfId="201"/>
    <cellStyle name="20% - 强调文字颜色 4 3 3 2 2" xfId="202"/>
    <cellStyle name="20% - 强调文字颜色 4 3 4" xfId="203"/>
    <cellStyle name="20% - 强调文字颜色 4 3 4 2" xfId="204"/>
    <cellStyle name="20% - 强调文字颜色 4 4" xfId="205"/>
    <cellStyle name="20% - 强调文字颜色 4 4 2" xfId="206"/>
    <cellStyle name="20% - 强调文字颜色 4 4 2 2" xfId="207"/>
    <cellStyle name="20% - 强调文字颜色 4 4 2 2 2" xfId="208"/>
    <cellStyle name="20% - 强调文字颜色 4 4 3" xfId="209"/>
    <cellStyle name="20% - 强调文字颜色 4 4 3 2" xfId="210"/>
    <cellStyle name="20% - 强调文字颜色 4 4 3 2 2" xfId="211"/>
    <cellStyle name="20% - 强调文字颜色 4 4 4" xfId="212"/>
    <cellStyle name="20% - 强调文字颜色 4 4 4 2" xfId="213"/>
    <cellStyle name="20% - 强调文字颜色 4 5" xfId="214"/>
    <cellStyle name="20% - 强调文字颜色 4 6" xfId="215"/>
    <cellStyle name="20% - 强调文字颜色 4 6 2" xfId="216"/>
    <cellStyle name="20% - 强调文字颜色 4 6 2 2" xfId="217"/>
    <cellStyle name="20% - 强调文字颜色 5 2" xfId="218"/>
    <cellStyle name="20% - 强调文字颜色 5 2 2" xfId="219"/>
    <cellStyle name="20% - 强调文字颜色 5 2 2 2" xfId="220"/>
    <cellStyle name="20% - 强调文字颜色 5 2 2 2 2" xfId="221"/>
    <cellStyle name="20% - 强调文字颜色 5 2 2 2 2 2" xfId="222"/>
    <cellStyle name="20% - 强调文字颜色 5 2 2 3" xfId="223"/>
    <cellStyle name="20% - 强调文字颜色 5 2 2 3 2" xfId="224"/>
    <cellStyle name="20% - 强调文字颜色 5 2 3" xfId="225"/>
    <cellStyle name="20% - 强调文字颜色 5 2 3 2" xfId="226"/>
    <cellStyle name="20% - 强调文字颜色 5 2 3 2 2" xfId="227"/>
    <cellStyle name="20% - 强调文字颜色 5 2 4" xfId="228"/>
    <cellStyle name="20% - 强调文字颜色 5 2 4 2" xfId="229"/>
    <cellStyle name="20% - 强调文字颜色 5 2 4 2 2" xfId="230"/>
    <cellStyle name="20% - 强调文字颜色 5 2 5" xfId="231"/>
    <cellStyle name="20% - 强调文字颜色 5 2 5 2" xfId="232"/>
    <cellStyle name="20% - 强调文字颜色 5 2 5 3" xfId="233"/>
    <cellStyle name="20% - 强调文字颜色 5 2 6" xfId="234"/>
    <cellStyle name="20% - 强调文字颜色 5 3" xfId="235"/>
    <cellStyle name="20% - 强调文字颜色 5 3 2" xfId="236"/>
    <cellStyle name="20% - 强调文字颜色 5 3 2 2" xfId="237"/>
    <cellStyle name="20% - 强调文字颜色 5 3 2 2 2" xfId="238"/>
    <cellStyle name="20% - 强调文字颜色 5 3 3" xfId="239"/>
    <cellStyle name="20% - 强调文字颜色 5 3 3 2" xfId="240"/>
    <cellStyle name="20% - 强调文字颜色 5 3 3 2 2" xfId="241"/>
    <cellStyle name="20% - 强调文字颜色 5 3 4" xfId="242"/>
    <cellStyle name="20% - 强调文字颜色 5 3 4 2" xfId="243"/>
    <cellStyle name="20% - 强调文字颜色 5 4" xfId="244"/>
    <cellStyle name="20% - 强调文字颜色 5 4 2" xfId="245"/>
    <cellStyle name="20% - 强调文字颜色 5 4 2 2" xfId="246"/>
    <cellStyle name="20% - 强调文字颜色 5 4 2 2 2" xfId="247"/>
    <cellStyle name="20% - 强调文字颜色 5 4 3" xfId="248"/>
    <cellStyle name="20% - 强调文字颜色 5 4 3 2" xfId="249"/>
    <cellStyle name="20% - 强调文字颜色 5 4 3 2 2" xfId="250"/>
    <cellStyle name="20% - 强调文字颜色 5 4 4" xfId="251"/>
    <cellStyle name="20% - 强调文字颜色 5 4 4 2" xfId="252"/>
    <cellStyle name="20% - 强调文字颜色 5 5" xfId="253"/>
    <cellStyle name="20% - 强调文字颜色 5 6" xfId="254"/>
    <cellStyle name="20% - 强调文字颜色 5 6 2" xfId="255"/>
    <cellStyle name="20% - 强调文字颜色 5 6 2 2" xfId="256"/>
    <cellStyle name="20% - 强调文字颜色 6 2" xfId="257"/>
    <cellStyle name="20% - 强调文字颜色 6 2 2" xfId="258"/>
    <cellStyle name="20% - 强调文字颜色 6 2 2 2" xfId="259"/>
    <cellStyle name="20% - 强调文字颜色 6 2 2 2 2" xfId="260"/>
    <cellStyle name="20% - 强调文字颜色 6 2 2 2 2 2" xfId="261"/>
    <cellStyle name="20% - 强调文字颜色 6 2 2 3" xfId="262"/>
    <cellStyle name="20% - 强调文字颜色 6 2 2 3 2" xfId="263"/>
    <cellStyle name="20% - 强调文字颜色 6 2 3" xfId="264"/>
    <cellStyle name="20% - 强调文字颜色 6 2 3 2" xfId="265"/>
    <cellStyle name="20% - 强调文字颜色 6 2 3 2 2" xfId="266"/>
    <cellStyle name="20% - 强调文字颜色 6 2 4" xfId="267"/>
    <cellStyle name="20% - 强调文字颜色 6 2 4 2" xfId="268"/>
    <cellStyle name="20% - 强调文字颜色 6 2 4 2 2" xfId="269"/>
    <cellStyle name="20% - 强调文字颜色 6 2 5" xfId="270"/>
    <cellStyle name="20% - 强调文字颜色 6 2 5 2" xfId="271"/>
    <cellStyle name="20% - 强调文字颜色 6 2 5 3" xfId="272"/>
    <cellStyle name="20% - 强调文字颜色 6 2 6" xfId="273"/>
    <cellStyle name="20% - 强调文字颜色 6 3" xfId="274"/>
    <cellStyle name="20% - 强调文字颜色 6 3 2" xfId="275"/>
    <cellStyle name="20% - 强调文字颜色 6 3 2 2" xfId="276"/>
    <cellStyle name="20% - 强调文字颜色 6 3 2 2 2" xfId="277"/>
    <cellStyle name="20% - 强调文字颜色 6 3 3" xfId="278"/>
    <cellStyle name="20% - 强调文字颜色 6 3 3 2" xfId="279"/>
    <cellStyle name="20% - 强调文字颜色 6 3 3 2 2" xfId="280"/>
    <cellStyle name="20% - 强调文字颜色 6 3 4" xfId="281"/>
    <cellStyle name="20% - 强调文字颜色 6 3 4 2" xfId="282"/>
    <cellStyle name="20% - 强调文字颜色 6 4" xfId="283"/>
    <cellStyle name="20% - 强调文字颜色 6 4 2" xfId="284"/>
    <cellStyle name="20% - 强调文字颜色 6 4 2 2" xfId="285"/>
    <cellStyle name="20% - 强调文字颜色 6 4 2 2 2" xfId="286"/>
    <cellStyle name="20% - 强调文字颜色 6 4 3" xfId="287"/>
    <cellStyle name="20% - 强调文字颜色 6 4 3 2" xfId="288"/>
    <cellStyle name="20% - 强调文字颜色 6 4 3 2 2" xfId="289"/>
    <cellStyle name="20% - 强调文字颜色 6 4 4" xfId="290"/>
    <cellStyle name="20% - 强调文字颜色 6 4 4 2" xfId="291"/>
    <cellStyle name="20% - 强调文字颜色 6 5" xfId="292"/>
    <cellStyle name="20% - 强调文字颜色 6 6" xfId="293"/>
    <cellStyle name="20% - 强调文字颜色 6 6 2" xfId="294"/>
    <cellStyle name="20% - 强调文字颜色 6 6 2 2" xfId="295"/>
    <cellStyle name="40% - 强调文字颜色 1 2" xfId="296"/>
    <cellStyle name="40% - 强调文字颜色 1 2 2" xfId="297"/>
    <cellStyle name="40% - 强调文字颜色 1 2 2 2" xfId="298"/>
    <cellStyle name="40% - 强调文字颜色 1 2 2 2 2" xfId="299"/>
    <cellStyle name="40% - 强调文字颜色 1 2 2 2 2 2" xfId="300"/>
    <cellStyle name="40% - 强调文字颜色 1 2 2 3" xfId="301"/>
    <cellStyle name="40% - 强调文字颜色 1 2 2 3 2" xfId="302"/>
    <cellStyle name="40% - 强调文字颜色 1 2 3" xfId="303"/>
    <cellStyle name="40% - 强调文字颜色 1 2 3 2" xfId="304"/>
    <cellStyle name="40% - 强调文字颜色 1 2 3 2 2" xfId="305"/>
    <cellStyle name="40% - 强调文字颜色 1 2 4" xfId="306"/>
    <cellStyle name="40% - 强调文字颜色 1 2 4 2" xfId="307"/>
    <cellStyle name="40% - 强调文字颜色 1 2 4 2 2" xfId="308"/>
    <cellStyle name="40% - 强调文字颜色 1 2 5" xfId="309"/>
    <cellStyle name="40% - 强调文字颜色 1 2 5 2" xfId="310"/>
    <cellStyle name="40% - 强调文字颜色 1 2 5 3" xfId="311"/>
    <cellStyle name="40% - 强调文字颜色 1 2 6" xfId="312"/>
    <cellStyle name="40% - 强调文字颜色 1 3" xfId="313"/>
    <cellStyle name="40% - 强调文字颜色 1 3 2" xfId="314"/>
    <cellStyle name="40% - 强调文字颜色 1 3 2 2" xfId="315"/>
    <cellStyle name="40% - 强调文字颜色 1 3 2 2 2" xfId="316"/>
    <cellStyle name="40% - 强调文字颜色 1 3 3" xfId="317"/>
    <cellStyle name="40% - 强调文字颜色 1 3 3 2" xfId="318"/>
    <cellStyle name="40% - 强调文字颜色 1 3 3 2 2" xfId="319"/>
    <cellStyle name="40% - 强调文字颜色 1 3 4" xfId="320"/>
    <cellStyle name="40% - 强调文字颜色 1 3 4 2" xfId="321"/>
    <cellStyle name="40% - 强调文字颜色 1 4" xfId="322"/>
    <cellStyle name="40% - 强调文字颜色 1 4 2" xfId="323"/>
    <cellStyle name="40% - 强调文字颜色 1 4 2 2" xfId="324"/>
    <cellStyle name="40% - 强调文字颜色 1 4 2 2 2" xfId="325"/>
    <cellStyle name="40% - 强调文字颜色 1 4 3" xfId="326"/>
    <cellStyle name="40% - 强调文字颜色 1 4 3 2" xfId="327"/>
    <cellStyle name="40% - 强调文字颜色 1 4 3 2 2" xfId="328"/>
    <cellStyle name="40% - 强调文字颜色 1 4 4" xfId="329"/>
    <cellStyle name="40% - 强调文字颜色 1 4 4 2" xfId="330"/>
    <cellStyle name="40% - 强调文字颜色 1 5" xfId="331"/>
    <cellStyle name="40% - 强调文字颜色 1 6" xfId="332"/>
    <cellStyle name="40% - 强调文字颜色 1 6 2" xfId="333"/>
    <cellStyle name="40% - 强调文字颜色 1 6 2 2" xfId="334"/>
    <cellStyle name="40% - 强调文字颜色 2 2" xfId="335"/>
    <cellStyle name="40% - 强调文字颜色 2 2 2" xfId="336"/>
    <cellStyle name="40% - 强调文字颜色 2 2 2 2" xfId="337"/>
    <cellStyle name="40% - 强调文字颜色 2 2 2 2 2" xfId="338"/>
    <cellStyle name="40% - 强调文字颜色 2 2 2 2 2 2" xfId="339"/>
    <cellStyle name="40% - 强调文字颜色 2 2 2 3" xfId="340"/>
    <cellStyle name="40% - 强调文字颜色 2 2 2 3 2" xfId="341"/>
    <cellStyle name="40% - 强调文字颜色 2 2 3" xfId="342"/>
    <cellStyle name="40% - 强调文字颜色 2 2 3 2" xfId="343"/>
    <cellStyle name="40% - 强调文字颜色 2 2 3 2 2" xfId="344"/>
    <cellStyle name="40% - 强调文字颜色 2 2 4" xfId="345"/>
    <cellStyle name="40% - 强调文字颜色 2 2 4 2" xfId="346"/>
    <cellStyle name="40% - 强调文字颜色 2 2 4 2 2" xfId="347"/>
    <cellStyle name="40% - 强调文字颜色 2 2 5" xfId="348"/>
    <cellStyle name="40% - 强调文字颜色 2 2 5 2" xfId="349"/>
    <cellStyle name="40% - 强调文字颜色 2 2 5 3" xfId="350"/>
    <cellStyle name="40% - 强调文字颜色 2 2 6" xfId="351"/>
    <cellStyle name="40% - 强调文字颜色 2 3" xfId="352"/>
    <cellStyle name="40% - 强调文字颜色 2 3 2" xfId="353"/>
    <cellStyle name="40% - 强调文字颜色 2 3 2 2" xfId="354"/>
    <cellStyle name="40% - 强调文字颜色 2 3 2 2 2" xfId="355"/>
    <cellStyle name="40% - 强调文字颜色 2 3 3" xfId="356"/>
    <cellStyle name="40% - 强调文字颜色 2 3 3 2" xfId="357"/>
    <cellStyle name="40% - 强调文字颜色 2 3 3 2 2" xfId="358"/>
    <cellStyle name="40% - 强调文字颜色 2 3 4" xfId="359"/>
    <cellStyle name="40% - 强调文字颜色 2 3 4 2" xfId="360"/>
    <cellStyle name="40% - 强调文字颜色 2 4" xfId="361"/>
    <cellStyle name="40% - 强调文字颜色 2 4 2" xfId="362"/>
    <cellStyle name="40% - 强调文字颜色 2 4 2 2" xfId="363"/>
    <cellStyle name="40% - 强调文字颜色 2 4 2 2 2" xfId="364"/>
    <cellStyle name="40% - 强调文字颜色 2 4 3" xfId="365"/>
    <cellStyle name="40% - 强调文字颜色 2 4 3 2" xfId="366"/>
    <cellStyle name="40% - 强调文字颜色 2 4 3 2 2" xfId="367"/>
    <cellStyle name="40% - 强调文字颜色 2 4 4" xfId="368"/>
    <cellStyle name="40% - 强调文字颜色 2 4 4 2" xfId="369"/>
    <cellStyle name="40% - 强调文字颜色 2 5" xfId="370"/>
    <cellStyle name="40% - 强调文字颜色 2 6" xfId="371"/>
    <cellStyle name="40% - 强调文字颜色 2 6 2" xfId="372"/>
    <cellStyle name="40% - 强调文字颜色 2 6 2 2" xfId="373"/>
    <cellStyle name="40% - 强调文字颜色 3 2" xfId="374"/>
    <cellStyle name="40% - 强调文字颜色 3 2 2" xfId="375"/>
    <cellStyle name="40% - 强调文字颜色 3 2 2 2" xfId="376"/>
    <cellStyle name="40% - 强调文字颜色 3 2 2 2 2" xfId="377"/>
    <cellStyle name="40% - 强调文字颜色 3 2 2 2 2 2" xfId="378"/>
    <cellStyle name="40% - 强调文字颜色 3 2 2 3" xfId="379"/>
    <cellStyle name="40% - 强调文字颜色 3 2 2 3 2" xfId="380"/>
    <cellStyle name="40% - 强调文字颜色 3 2 3" xfId="381"/>
    <cellStyle name="40% - 强调文字颜色 3 2 3 2" xfId="382"/>
    <cellStyle name="40% - 强调文字颜色 3 2 3 2 2" xfId="383"/>
    <cellStyle name="40% - 强调文字颜色 3 2 4" xfId="384"/>
    <cellStyle name="40% - 强调文字颜色 3 2 4 2" xfId="385"/>
    <cellStyle name="40% - 强调文字颜色 3 2 4 2 2" xfId="386"/>
    <cellStyle name="40% - 强调文字颜色 3 2 5" xfId="387"/>
    <cellStyle name="40% - 强调文字颜色 3 2 5 2" xfId="388"/>
    <cellStyle name="40% - 强调文字颜色 3 2 5 3" xfId="389"/>
    <cellStyle name="40% - 强调文字颜色 3 2 6" xfId="390"/>
    <cellStyle name="40% - 强调文字颜色 3 3" xfId="391"/>
    <cellStyle name="40% - 强调文字颜色 3 3 2" xfId="392"/>
    <cellStyle name="40% - 强调文字颜色 3 3 2 2" xfId="393"/>
    <cellStyle name="40% - 强调文字颜色 3 3 2 2 2" xfId="394"/>
    <cellStyle name="40% - 强调文字颜色 3 3 3" xfId="395"/>
    <cellStyle name="40% - 强调文字颜色 3 3 3 2" xfId="396"/>
    <cellStyle name="40% - 强调文字颜色 3 3 3 2 2" xfId="397"/>
    <cellStyle name="40% - 强调文字颜色 3 3 4" xfId="398"/>
    <cellStyle name="40% - 强调文字颜色 3 3 4 2" xfId="399"/>
    <cellStyle name="40% - 强调文字颜色 3 4" xfId="400"/>
    <cellStyle name="40% - 强调文字颜色 3 4 2" xfId="401"/>
    <cellStyle name="40% - 强调文字颜色 3 4 2 2" xfId="402"/>
    <cellStyle name="40% - 强调文字颜色 3 4 2 2 2" xfId="403"/>
    <cellStyle name="40% - 强调文字颜色 3 4 3" xfId="404"/>
    <cellStyle name="40% - 强调文字颜色 3 4 3 2" xfId="405"/>
    <cellStyle name="40% - 强调文字颜色 3 4 3 2 2" xfId="406"/>
    <cellStyle name="40% - 强调文字颜色 3 4 4" xfId="407"/>
    <cellStyle name="40% - 强调文字颜色 3 4 4 2" xfId="408"/>
    <cellStyle name="40% - 强调文字颜色 3 5" xfId="409"/>
    <cellStyle name="40% - 强调文字颜色 3 6" xfId="410"/>
    <cellStyle name="40% - 强调文字颜色 3 6 2" xfId="411"/>
    <cellStyle name="40% - 强调文字颜色 3 6 2 2" xfId="412"/>
    <cellStyle name="40% - 强调文字颜色 4 2" xfId="413"/>
    <cellStyle name="40% - 强调文字颜色 4 2 2" xfId="414"/>
    <cellStyle name="40% - 强调文字颜色 4 2 2 2" xfId="415"/>
    <cellStyle name="40% - 强调文字颜色 4 2 2 2 2" xfId="416"/>
    <cellStyle name="40% - 强调文字颜色 4 2 2 2 2 2" xfId="417"/>
    <cellStyle name="40% - 强调文字颜色 4 2 2 3" xfId="418"/>
    <cellStyle name="40% - 强调文字颜色 4 2 2 3 2" xfId="419"/>
    <cellStyle name="40% - 强调文字颜色 4 2 3" xfId="420"/>
    <cellStyle name="40% - 强调文字颜色 4 2 3 2" xfId="421"/>
    <cellStyle name="40% - 强调文字颜色 4 2 3 2 2" xfId="422"/>
    <cellStyle name="40% - 强调文字颜色 4 2 4" xfId="423"/>
    <cellStyle name="40% - 强调文字颜色 4 2 4 2" xfId="424"/>
    <cellStyle name="40% - 强调文字颜色 4 2 4 2 2" xfId="425"/>
    <cellStyle name="40% - 强调文字颜色 4 2 5" xfId="426"/>
    <cellStyle name="40% - 强调文字颜色 4 2 5 2" xfId="427"/>
    <cellStyle name="40% - 强调文字颜色 4 2 5 3" xfId="428"/>
    <cellStyle name="40% - 强调文字颜色 4 2 6" xfId="429"/>
    <cellStyle name="40% - 强调文字颜色 4 3" xfId="430"/>
    <cellStyle name="40% - 强调文字颜色 4 3 2" xfId="431"/>
    <cellStyle name="40% - 强调文字颜色 4 3 2 2" xfId="432"/>
    <cellStyle name="40% - 强调文字颜色 4 3 2 2 2" xfId="433"/>
    <cellStyle name="40% - 强调文字颜色 4 3 3" xfId="434"/>
    <cellStyle name="40% - 强调文字颜色 4 3 3 2" xfId="435"/>
    <cellStyle name="40% - 强调文字颜色 4 3 3 2 2" xfId="436"/>
    <cellStyle name="40% - 强调文字颜色 4 3 4" xfId="437"/>
    <cellStyle name="40% - 强调文字颜色 4 3 4 2" xfId="438"/>
    <cellStyle name="40% - 强调文字颜色 4 4" xfId="439"/>
    <cellStyle name="40% - 强调文字颜色 4 4 2" xfId="440"/>
    <cellStyle name="40% - 强调文字颜色 4 4 2 2" xfId="441"/>
    <cellStyle name="40% - 强调文字颜色 4 4 2 2 2" xfId="442"/>
    <cellStyle name="40% - 强调文字颜色 4 4 3" xfId="443"/>
    <cellStyle name="40% - 强调文字颜色 4 4 3 2" xfId="444"/>
    <cellStyle name="40% - 强调文字颜色 4 4 3 2 2" xfId="445"/>
    <cellStyle name="40% - 强调文字颜色 4 4 4" xfId="446"/>
    <cellStyle name="40% - 强调文字颜色 4 4 4 2" xfId="447"/>
    <cellStyle name="40% - 强调文字颜色 4 5" xfId="448"/>
    <cellStyle name="40% - 强调文字颜色 4 6" xfId="449"/>
    <cellStyle name="40% - 强调文字颜色 4 6 2" xfId="450"/>
    <cellStyle name="40% - 强调文字颜色 4 6 2 2" xfId="451"/>
    <cellStyle name="40% - 强调文字颜色 5 2" xfId="452"/>
    <cellStyle name="40% - 强调文字颜色 5 2 2" xfId="453"/>
    <cellStyle name="40% - 强调文字颜色 5 2 2 2" xfId="454"/>
    <cellStyle name="40% - 强调文字颜色 5 2 2 2 2" xfId="455"/>
    <cellStyle name="40% - 强调文字颜色 5 2 2 2 2 2" xfId="456"/>
    <cellStyle name="40% - 强调文字颜色 5 2 2 3" xfId="457"/>
    <cellStyle name="40% - 强调文字颜色 5 2 2 3 2" xfId="458"/>
    <cellStyle name="40% - 强调文字颜色 5 2 3" xfId="459"/>
    <cellStyle name="40% - 强调文字颜色 5 2 3 2" xfId="460"/>
    <cellStyle name="40% - 强调文字颜色 5 2 3 2 2" xfId="461"/>
    <cellStyle name="40% - 强调文字颜色 5 2 4" xfId="462"/>
    <cellStyle name="40% - 强调文字颜色 5 2 4 2" xfId="463"/>
    <cellStyle name="40% - 强调文字颜色 5 2 4 2 2" xfId="464"/>
    <cellStyle name="40% - 强调文字颜色 5 2 5" xfId="465"/>
    <cellStyle name="40% - 强调文字颜色 5 2 5 2" xfId="466"/>
    <cellStyle name="40% - 强调文字颜色 5 2 5 3" xfId="467"/>
    <cellStyle name="40% - 强调文字颜色 5 2 6" xfId="468"/>
    <cellStyle name="40% - 强调文字颜色 5 3" xfId="469"/>
    <cellStyle name="40% - 强调文字颜色 5 3 2" xfId="470"/>
    <cellStyle name="40% - 强调文字颜色 5 3 2 2" xfId="471"/>
    <cellStyle name="40% - 强调文字颜色 5 3 2 2 2" xfId="472"/>
    <cellStyle name="40% - 强调文字颜色 5 3 3" xfId="473"/>
    <cellStyle name="40% - 强调文字颜色 5 3 3 2" xfId="474"/>
    <cellStyle name="40% - 强调文字颜色 5 3 3 2 2" xfId="475"/>
    <cellStyle name="40% - 强调文字颜色 5 3 4" xfId="476"/>
    <cellStyle name="40% - 强调文字颜色 5 3 4 2" xfId="477"/>
    <cellStyle name="40% - 强调文字颜色 5 4" xfId="478"/>
    <cellStyle name="40% - 强调文字颜色 5 4 2" xfId="479"/>
    <cellStyle name="40% - 强调文字颜色 5 4 2 2" xfId="480"/>
    <cellStyle name="40% - 强调文字颜色 5 4 2 2 2" xfId="481"/>
    <cellStyle name="40% - 强调文字颜色 5 4 3" xfId="482"/>
    <cellStyle name="40% - 强调文字颜色 5 4 3 2" xfId="483"/>
    <cellStyle name="40% - 强调文字颜色 5 4 3 2 2" xfId="484"/>
    <cellStyle name="40% - 强调文字颜色 5 4 4" xfId="485"/>
    <cellStyle name="40% - 强调文字颜色 5 4 4 2" xfId="486"/>
    <cellStyle name="40% - 强调文字颜色 5 5" xfId="487"/>
    <cellStyle name="40% - 强调文字颜色 5 6" xfId="488"/>
    <cellStyle name="40% - 强调文字颜色 5 6 2" xfId="489"/>
    <cellStyle name="40% - 强调文字颜色 5 6 2 2" xfId="490"/>
    <cellStyle name="40% - 强调文字颜色 6 2" xfId="491"/>
    <cellStyle name="40% - 强调文字颜色 6 2 2" xfId="492"/>
    <cellStyle name="40% - 强调文字颜色 6 2 2 2" xfId="493"/>
    <cellStyle name="40% - 强调文字颜色 6 2 2 2 2" xfId="494"/>
    <cellStyle name="40% - 强调文字颜色 6 2 2 2 2 2" xfId="495"/>
    <cellStyle name="40% - 强调文字颜色 6 2 2 3" xfId="496"/>
    <cellStyle name="40% - 强调文字颜色 6 2 2 3 2" xfId="497"/>
    <cellStyle name="40% - 强调文字颜色 6 2 3" xfId="498"/>
    <cellStyle name="40% - 强调文字颜色 6 2 3 2" xfId="499"/>
    <cellStyle name="40% - 强调文字颜色 6 2 3 2 2" xfId="500"/>
    <cellStyle name="40% - 强调文字颜色 6 2 4" xfId="501"/>
    <cellStyle name="40% - 强调文字颜色 6 2 4 2" xfId="502"/>
    <cellStyle name="40% - 强调文字颜色 6 2 4 2 2" xfId="503"/>
    <cellStyle name="40% - 强调文字颜色 6 2 5" xfId="504"/>
    <cellStyle name="40% - 强调文字颜色 6 2 5 2" xfId="505"/>
    <cellStyle name="40% - 强调文字颜色 6 2 5 3" xfId="506"/>
    <cellStyle name="40% - 强调文字颜色 6 2 6" xfId="507"/>
    <cellStyle name="40% - 强调文字颜色 6 3" xfId="508"/>
    <cellStyle name="40% - 强调文字颜色 6 3 2" xfId="509"/>
    <cellStyle name="40% - 强调文字颜色 6 3 2 2" xfId="510"/>
    <cellStyle name="40% - 强调文字颜色 6 3 2 2 2" xfId="511"/>
    <cellStyle name="40% - 强调文字颜色 6 3 3" xfId="512"/>
    <cellStyle name="40% - 强调文字颜色 6 3 3 2" xfId="513"/>
    <cellStyle name="40% - 强调文字颜色 6 3 3 2 2" xfId="514"/>
    <cellStyle name="40% - 强调文字颜色 6 3 4" xfId="515"/>
    <cellStyle name="40% - 强调文字颜色 6 3 4 2" xfId="516"/>
    <cellStyle name="40% - 强调文字颜色 6 4" xfId="517"/>
    <cellStyle name="40% - 强调文字颜色 6 4 2" xfId="518"/>
    <cellStyle name="40% - 强调文字颜色 6 4 2 2" xfId="519"/>
    <cellStyle name="40% - 强调文字颜色 6 4 2 2 2" xfId="520"/>
    <cellStyle name="40% - 强调文字颜色 6 4 3" xfId="521"/>
    <cellStyle name="40% - 强调文字颜色 6 4 3 2" xfId="522"/>
    <cellStyle name="40% - 强调文字颜色 6 4 3 2 2" xfId="523"/>
    <cellStyle name="40% - 强调文字颜色 6 4 4" xfId="524"/>
    <cellStyle name="40% - 强调文字颜色 6 4 4 2" xfId="525"/>
    <cellStyle name="40% - 强调文字颜色 6 5" xfId="526"/>
    <cellStyle name="40% - 强调文字颜色 6 6" xfId="527"/>
    <cellStyle name="40% - 强调文字颜色 6 6 2" xfId="528"/>
    <cellStyle name="40% - 强调文字颜色 6 6 2 2" xfId="529"/>
    <cellStyle name="60% - 强调文字颜色 1 2" xfId="530"/>
    <cellStyle name="60% - 强调文字颜色 1 2 2" xfId="531"/>
    <cellStyle name="60% - 强调文字颜色 1 2 2 2" xfId="532"/>
    <cellStyle name="60% - 强调文字颜色 1 2 2 2 2" xfId="533"/>
    <cellStyle name="60% - 强调文字颜色 1 2 3" xfId="534"/>
    <cellStyle name="60% - 强调文字颜色 1 2 3 2" xfId="535"/>
    <cellStyle name="60% - 强调文字颜色 1 2 3 2 2" xfId="536"/>
    <cellStyle name="60% - 强调文字颜色 1 2 4" xfId="537"/>
    <cellStyle name="60% - 强调文字颜色 1 2 4 2" xfId="538"/>
    <cellStyle name="60% - 强调文字颜色 1 2 4 3" xfId="539"/>
    <cellStyle name="60% - 强调文字颜色 1 2 5" xfId="540"/>
    <cellStyle name="60% - 强调文字颜色 1 3" xfId="541"/>
    <cellStyle name="60% - 强调文字颜色 1 3 2" xfId="542"/>
    <cellStyle name="60% - 强调文字颜色 1 3 2 2" xfId="543"/>
    <cellStyle name="60% - 强调文字颜色 1 3 2 2 2" xfId="544"/>
    <cellStyle name="60% - 强调文字颜色 1 3 3" xfId="545"/>
    <cellStyle name="60% - 强调文字颜色 1 3 3 2" xfId="546"/>
    <cellStyle name="60% - 强调文字颜色 1 4" xfId="547"/>
    <cellStyle name="60% - 强调文字颜色 1 4 2" xfId="548"/>
    <cellStyle name="60% - 强调文字颜色 1 4 2 2" xfId="549"/>
    <cellStyle name="60% - 强调文字颜色 1 4 2 2 2" xfId="550"/>
    <cellStyle name="60% - 强调文字颜色 1 4 3" xfId="551"/>
    <cellStyle name="60% - 强调文字颜色 1 4 3 2" xfId="552"/>
    <cellStyle name="60% - 强调文字颜色 1 5" xfId="553"/>
    <cellStyle name="60% - 强调文字颜色 1 6" xfId="554"/>
    <cellStyle name="60% - 强调文字颜色 1 6 2" xfId="555"/>
    <cellStyle name="60% - 强调文字颜色 1 6 2 2" xfId="556"/>
    <cellStyle name="60% - 强调文字颜色 2 2" xfId="557"/>
    <cellStyle name="60% - 强调文字颜色 2 2 2" xfId="558"/>
    <cellStyle name="60% - 强调文字颜色 2 2 2 2" xfId="559"/>
    <cellStyle name="60% - 强调文字颜色 2 2 2 2 2" xfId="560"/>
    <cellStyle name="60% - 强调文字颜色 2 2 3" xfId="561"/>
    <cellStyle name="60% - 强调文字颜色 2 2 3 2" xfId="562"/>
    <cellStyle name="60% - 强调文字颜色 2 2 3 2 2" xfId="563"/>
    <cellStyle name="60% - 强调文字颜色 2 2 4" xfId="564"/>
    <cellStyle name="60% - 强调文字颜色 2 2 4 2" xfId="565"/>
    <cellStyle name="60% - 强调文字颜色 2 2 4 3" xfId="566"/>
    <cellStyle name="60% - 强调文字颜色 2 2 5" xfId="567"/>
    <cellStyle name="60% - 强调文字颜色 2 3" xfId="568"/>
    <cellStyle name="60% - 强调文字颜色 2 3 2" xfId="569"/>
    <cellStyle name="60% - 强调文字颜色 2 3 2 2" xfId="570"/>
    <cellStyle name="60% - 强调文字颜色 2 3 2 2 2" xfId="571"/>
    <cellStyle name="60% - 强调文字颜色 2 3 3" xfId="572"/>
    <cellStyle name="60% - 强调文字颜色 2 3 3 2" xfId="573"/>
    <cellStyle name="60% - 强调文字颜色 2 4" xfId="574"/>
    <cellStyle name="60% - 强调文字颜色 2 4 2" xfId="575"/>
    <cellStyle name="60% - 强调文字颜色 2 4 2 2" xfId="576"/>
    <cellStyle name="60% - 强调文字颜色 2 4 2 2 2" xfId="577"/>
    <cellStyle name="60% - 强调文字颜色 2 4 3" xfId="578"/>
    <cellStyle name="60% - 强调文字颜色 2 4 3 2" xfId="579"/>
    <cellStyle name="60% - 强调文字颜色 2 5" xfId="580"/>
    <cellStyle name="60% - 强调文字颜色 2 6" xfId="581"/>
    <cellStyle name="60% - 强调文字颜色 2 6 2" xfId="582"/>
    <cellStyle name="60% - 强调文字颜色 2 6 2 2" xfId="583"/>
    <cellStyle name="60% - 强调文字颜色 3 2" xfId="584"/>
    <cellStyle name="60% - 强调文字颜色 3 2 2" xfId="585"/>
    <cellStyle name="60% - 强调文字颜色 3 2 2 2" xfId="586"/>
    <cellStyle name="60% - 强调文字颜色 3 2 2 2 2" xfId="587"/>
    <cellStyle name="60% - 强调文字颜色 3 2 3" xfId="588"/>
    <cellStyle name="60% - 强调文字颜色 3 2 3 2" xfId="589"/>
    <cellStyle name="60% - 强调文字颜色 3 2 3 2 2" xfId="590"/>
    <cellStyle name="60% - 强调文字颜色 3 2 4" xfId="591"/>
    <cellStyle name="60% - 强调文字颜色 3 2 4 2" xfId="592"/>
    <cellStyle name="60% - 强调文字颜色 3 2 4 3" xfId="593"/>
    <cellStyle name="60% - 强调文字颜色 3 2 5" xfId="594"/>
    <cellStyle name="60% - 强调文字颜色 3 3" xfId="595"/>
    <cellStyle name="60% - 强调文字颜色 3 3 2" xfId="596"/>
    <cellStyle name="60% - 强调文字颜色 3 3 2 2" xfId="597"/>
    <cellStyle name="60% - 强调文字颜色 3 3 2 2 2" xfId="598"/>
    <cellStyle name="60% - 强调文字颜色 3 3 3" xfId="599"/>
    <cellStyle name="60% - 强调文字颜色 3 3 3 2" xfId="600"/>
    <cellStyle name="60% - 强调文字颜色 3 4" xfId="601"/>
    <cellStyle name="60% - 强调文字颜色 3 4 2" xfId="602"/>
    <cellStyle name="60% - 强调文字颜色 3 4 2 2" xfId="603"/>
    <cellStyle name="60% - 强调文字颜色 3 4 2 2 2" xfId="604"/>
    <cellStyle name="60% - 强调文字颜色 3 4 3" xfId="605"/>
    <cellStyle name="60% - 强调文字颜色 3 4 3 2" xfId="606"/>
    <cellStyle name="60% - 强调文字颜色 3 5" xfId="607"/>
    <cellStyle name="60% - 强调文字颜色 3 6" xfId="608"/>
    <cellStyle name="60% - 强调文字颜色 3 6 2" xfId="609"/>
    <cellStyle name="60% - 强调文字颜色 3 6 2 2" xfId="610"/>
    <cellStyle name="60% - 强调文字颜色 4 2" xfId="611"/>
    <cellStyle name="60% - 强调文字颜色 4 2 2" xfId="612"/>
    <cellStyle name="60% - 强调文字颜色 4 2 2 2" xfId="613"/>
    <cellStyle name="60% - 强调文字颜色 4 2 2 2 2" xfId="614"/>
    <cellStyle name="60% - 强调文字颜色 4 2 3" xfId="615"/>
    <cellStyle name="60% - 强调文字颜色 4 2 3 2" xfId="616"/>
    <cellStyle name="60% - 强调文字颜色 4 2 3 2 2" xfId="617"/>
    <cellStyle name="60% - 强调文字颜色 4 2 4" xfId="618"/>
    <cellStyle name="60% - 强调文字颜色 4 2 4 2" xfId="619"/>
    <cellStyle name="60% - 强调文字颜色 4 2 4 3" xfId="620"/>
    <cellStyle name="60% - 强调文字颜色 4 2 5" xfId="621"/>
    <cellStyle name="60% - 强调文字颜色 4 3" xfId="622"/>
    <cellStyle name="60% - 强调文字颜色 4 3 2" xfId="623"/>
    <cellStyle name="60% - 强调文字颜色 4 3 2 2" xfId="624"/>
    <cellStyle name="60% - 强调文字颜色 4 3 2 2 2" xfId="625"/>
    <cellStyle name="60% - 强调文字颜色 4 3 3" xfId="626"/>
    <cellStyle name="60% - 强调文字颜色 4 3 3 2" xfId="627"/>
    <cellStyle name="60% - 强调文字颜色 4 4" xfId="628"/>
    <cellStyle name="60% - 强调文字颜色 4 4 2" xfId="629"/>
    <cellStyle name="60% - 强调文字颜色 4 4 2 2" xfId="630"/>
    <cellStyle name="60% - 强调文字颜色 4 4 2 2 2" xfId="631"/>
    <cellStyle name="60% - 强调文字颜色 4 4 3" xfId="632"/>
    <cellStyle name="60% - 强调文字颜色 4 4 3 2" xfId="633"/>
    <cellStyle name="60% - 强调文字颜色 4 5" xfId="634"/>
    <cellStyle name="60% - 强调文字颜色 4 6" xfId="635"/>
    <cellStyle name="60% - 强调文字颜色 4 6 2" xfId="636"/>
    <cellStyle name="60% - 强调文字颜色 4 6 2 2" xfId="637"/>
    <cellStyle name="60% - 强调文字颜色 5 2" xfId="638"/>
    <cellStyle name="60% - 强调文字颜色 5 2 2" xfId="639"/>
    <cellStyle name="60% - 强调文字颜色 5 2 2 2" xfId="640"/>
    <cellStyle name="60% - 强调文字颜色 5 2 2 2 2" xfId="641"/>
    <cellStyle name="60% - 强调文字颜色 5 2 3" xfId="642"/>
    <cellStyle name="60% - 强调文字颜色 5 2 3 2" xfId="643"/>
    <cellStyle name="60% - 强调文字颜色 5 2 3 2 2" xfId="644"/>
    <cellStyle name="60% - 强调文字颜色 5 2 4" xfId="645"/>
    <cellStyle name="60% - 强调文字颜色 5 2 4 2" xfId="646"/>
    <cellStyle name="60% - 强调文字颜色 5 2 4 3" xfId="647"/>
    <cellStyle name="60% - 强调文字颜色 5 2 5" xfId="648"/>
    <cellStyle name="60% - 强调文字颜色 5 3" xfId="649"/>
    <cellStyle name="60% - 强调文字颜色 5 3 2" xfId="650"/>
    <cellStyle name="60% - 强调文字颜色 5 3 2 2" xfId="651"/>
    <cellStyle name="60% - 强调文字颜色 5 3 2 2 2" xfId="652"/>
    <cellStyle name="60% - 强调文字颜色 5 3 3" xfId="653"/>
    <cellStyle name="60% - 强调文字颜色 5 3 3 2" xfId="654"/>
    <cellStyle name="60% - 强调文字颜色 5 4" xfId="655"/>
    <cellStyle name="60% - 强调文字颜色 5 4 2" xfId="656"/>
    <cellStyle name="60% - 强调文字颜色 5 4 2 2" xfId="657"/>
    <cellStyle name="60% - 强调文字颜色 5 4 2 2 2" xfId="658"/>
    <cellStyle name="60% - 强调文字颜色 5 4 3" xfId="659"/>
    <cellStyle name="60% - 强调文字颜色 5 4 3 2" xfId="660"/>
    <cellStyle name="60% - 强调文字颜色 5 5" xfId="661"/>
    <cellStyle name="60% - 强调文字颜色 5 6" xfId="662"/>
    <cellStyle name="60% - 强调文字颜色 5 6 2" xfId="663"/>
    <cellStyle name="60% - 强调文字颜色 5 6 2 2" xfId="664"/>
    <cellStyle name="60% - 强调文字颜色 6 2" xfId="665"/>
    <cellStyle name="60% - 强调文字颜色 6 2 2" xfId="666"/>
    <cellStyle name="60% - 强调文字颜色 6 2 2 2" xfId="667"/>
    <cellStyle name="60% - 强调文字颜色 6 2 2 2 2" xfId="668"/>
    <cellStyle name="60% - 强调文字颜色 6 2 3" xfId="669"/>
    <cellStyle name="60% - 强调文字颜色 6 2 3 2" xfId="670"/>
    <cellStyle name="60% - 强调文字颜色 6 2 3 2 2" xfId="671"/>
    <cellStyle name="60% - 强调文字颜色 6 2 4" xfId="672"/>
    <cellStyle name="60% - 强调文字颜色 6 2 4 2" xfId="673"/>
    <cellStyle name="60% - 强调文字颜色 6 2 4 3" xfId="674"/>
    <cellStyle name="60% - 强调文字颜色 6 2 5" xfId="675"/>
    <cellStyle name="60% - 强调文字颜色 6 3" xfId="676"/>
    <cellStyle name="60% - 强调文字颜色 6 3 2" xfId="677"/>
    <cellStyle name="60% - 强调文字颜色 6 3 2 2" xfId="678"/>
    <cellStyle name="60% - 强调文字颜色 6 3 2 2 2" xfId="679"/>
    <cellStyle name="60% - 强调文字颜色 6 3 3" xfId="680"/>
    <cellStyle name="60% - 强调文字颜色 6 3 3 2" xfId="681"/>
    <cellStyle name="60% - 强调文字颜色 6 4" xfId="682"/>
    <cellStyle name="60% - 强调文字颜色 6 4 2" xfId="683"/>
    <cellStyle name="60% - 强调文字颜色 6 4 2 2" xfId="684"/>
    <cellStyle name="60% - 强调文字颜色 6 4 2 2 2" xfId="685"/>
    <cellStyle name="60% - 强调文字颜色 6 4 3" xfId="686"/>
    <cellStyle name="60% - 强调文字颜色 6 4 3 2" xfId="687"/>
    <cellStyle name="60% - 强调文字颜色 6 5" xfId="688"/>
    <cellStyle name="60% - 强调文字颜色 6 6" xfId="689"/>
    <cellStyle name="60% - 强调文字颜色 6 6 2" xfId="690"/>
    <cellStyle name="60% - 强调文字颜色 6 6 2 2" xfId="691"/>
    <cellStyle name="Normal_CH-7D" xfId="692"/>
    <cellStyle name="Pricing Text" xfId="693"/>
    <cellStyle name="Pricing Text 2" xfId="694"/>
    <cellStyle name="Pricing Text 3" xfId="695"/>
    <cellStyle name="Pricing Text 3 2" xfId="696"/>
    <cellStyle name="Pricing Text 3 3" xfId="697"/>
    <cellStyle name="Pricing Text 3 4" xfId="698"/>
    <cellStyle name="标题 1 2" xfId="699"/>
    <cellStyle name="标题 1 2 2" xfId="700"/>
    <cellStyle name="标题 1 2 2 2" xfId="701"/>
    <cellStyle name="标题 1 2 2 2 2" xfId="702"/>
    <cellStyle name="标题 1 2 3" xfId="703"/>
    <cellStyle name="标题 1 2 3 2" xfId="704"/>
    <cellStyle name="标题 1 2 3 2 2" xfId="705"/>
    <cellStyle name="标题 1 2 4" xfId="706"/>
    <cellStyle name="标题 1 2 4 2" xfId="707"/>
    <cellStyle name="标题 1 3" xfId="708"/>
    <cellStyle name="标题 1 3 2" xfId="709"/>
    <cellStyle name="标题 1 3 2 2" xfId="710"/>
    <cellStyle name="标题 1 3 2 2 2" xfId="711"/>
    <cellStyle name="标题 1 3 3" xfId="712"/>
    <cellStyle name="标题 1 3 3 2" xfId="713"/>
    <cellStyle name="标题 1 4" xfId="714"/>
    <cellStyle name="标题 1 4 2" xfId="715"/>
    <cellStyle name="标题 1 4 2 2" xfId="716"/>
    <cellStyle name="标题 1 4 2 2 2" xfId="717"/>
    <cellStyle name="标题 1 4 3" xfId="718"/>
    <cellStyle name="标题 1 4 3 2" xfId="719"/>
    <cellStyle name="标题 1 5" xfId="720"/>
    <cellStyle name="标题 1 6" xfId="721"/>
    <cellStyle name="标题 1 6 2" xfId="722"/>
    <cellStyle name="标题 1 6 2 2" xfId="723"/>
    <cellStyle name="标题 2 2" xfId="724"/>
    <cellStyle name="标题 2 2 2" xfId="725"/>
    <cellStyle name="标题 2 2 2 2" xfId="726"/>
    <cellStyle name="标题 2 2 2 2 2" xfId="727"/>
    <cellStyle name="标题 2 2 3" xfId="728"/>
    <cellStyle name="标题 2 2 3 2" xfId="729"/>
    <cellStyle name="标题 2 2 3 2 2" xfId="730"/>
    <cellStyle name="标题 2 2 4" xfId="731"/>
    <cellStyle name="标题 2 2 4 2" xfId="732"/>
    <cellStyle name="标题 2 3" xfId="733"/>
    <cellStyle name="标题 2 3 2" xfId="734"/>
    <cellStyle name="标题 2 3 2 2" xfId="735"/>
    <cellStyle name="标题 2 3 2 2 2" xfId="736"/>
    <cellStyle name="标题 2 3 3" xfId="737"/>
    <cellStyle name="标题 2 3 3 2" xfId="738"/>
    <cellStyle name="标题 2 4" xfId="739"/>
    <cellStyle name="标题 2 4 2" xfId="740"/>
    <cellStyle name="标题 2 4 2 2" xfId="741"/>
    <cellStyle name="标题 2 4 2 2 2" xfId="742"/>
    <cellStyle name="标题 2 4 3" xfId="743"/>
    <cellStyle name="标题 2 4 3 2" xfId="744"/>
    <cellStyle name="标题 2 5" xfId="745"/>
    <cellStyle name="标题 2 6" xfId="746"/>
    <cellStyle name="标题 2 6 2" xfId="747"/>
    <cellStyle name="标题 2 6 2 2" xfId="748"/>
    <cellStyle name="标题 3 2" xfId="749"/>
    <cellStyle name="标题 3 2 2" xfId="750"/>
    <cellStyle name="标题 3 2 2 2" xfId="751"/>
    <cellStyle name="标题 3 2 2 2 2" xfId="752"/>
    <cellStyle name="标题 3 2 3" xfId="753"/>
    <cellStyle name="标题 3 2 3 2" xfId="754"/>
    <cellStyle name="标题 3 2 3 2 2" xfId="755"/>
    <cellStyle name="标题 3 2 4" xfId="756"/>
    <cellStyle name="标题 3 2 4 2" xfId="757"/>
    <cellStyle name="标题 3 3" xfId="758"/>
    <cellStyle name="标题 3 3 2" xfId="759"/>
    <cellStyle name="标题 3 3 2 2" xfId="760"/>
    <cellStyle name="标题 3 3 2 2 2" xfId="761"/>
    <cellStyle name="标题 3 3 3" xfId="762"/>
    <cellStyle name="标题 3 3 3 2" xfId="763"/>
    <cellStyle name="标题 3 4" xfId="764"/>
    <cellStyle name="标题 3 4 2" xfId="765"/>
    <cellStyle name="标题 3 4 2 2" xfId="766"/>
    <cellStyle name="标题 3 4 2 2 2" xfId="767"/>
    <cellStyle name="标题 3 4 3" xfId="768"/>
    <cellStyle name="标题 3 4 3 2" xfId="769"/>
    <cellStyle name="标题 3 5" xfId="770"/>
    <cellStyle name="标题 3 6" xfId="771"/>
    <cellStyle name="标题 3 6 2" xfId="772"/>
    <cellStyle name="标题 3 6 2 2" xfId="773"/>
    <cellStyle name="标题 4 2" xfId="774"/>
    <cellStyle name="标题 4 2 2" xfId="775"/>
    <cellStyle name="标题 4 2 2 2" xfId="776"/>
    <cellStyle name="标题 4 2 2 2 2" xfId="777"/>
    <cellStyle name="标题 4 2 3" xfId="778"/>
    <cellStyle name="标题 4 2 3 2" xfId="779"/>
    <cellStyle name="标题 4 2 3 2 2" xfId="780"/>
    <cellStyle name="标题 4 2 4" xfId="781"/>
    <cellStyle name="标题 4 2 4 2" xfId="782"/>
    <cellStyle name="标题 4 3" xfId="783"/>
    <cellStyle name="标题 4 3 2" xfId="784"/>
    <cellStyle name="标题 4 3 2 2" xfId="785"/>
    <cellStyle name="标题 4 3 2 2 2" xfId="786"/>
    <cellStyle name="标题 4 3 3" xfId="787"/>
    <cellStyle name="标题 4 3 3 2" xfId="788"/>
    <cellStyle name="标题 4 4" xfId="789"/>
    <cellStyle name="标题 4 4 2" xfId="790"/>
    <cellStyle name="标题 4 4 2 2" xfId="791"/>
    <cellStyle name="标题 4 4 2 2 2" xfId="792"/>
    <cellStyle name="标题 4 4 3" xfId="793"/>
    <cellStyle name="标题 4 4 3 2" xfId="794"/>
    <cellStyle name="标题 4 5" xfId="795"/>
    <cellStyle name="标题 4 6" xfId="796"/>
    <cellStyle name="标题 4 6 2" xfId="797"/>
    <cellStyle name="标题 4 6 2 2" xfId="798"/>
    <cellStyle name="标题 5" xfId="799"/>
    <cellStyle name="标题 5 2" xfId="800"/>
    <cellStyle name="标题 5 2 2" xfId="801"/>
    <cellStyle name="标题 5 2 2 2" xfId="802"/>
    <cellStyle name="标题 5 3" xfId="803"/>
    <cellStyle name="标题 5 3 2" xfId="804"/>
    <cellStyle name="标题 5 3 2 2" xfId="805"/>
    <cellStyle name="标题 5 4" xfId="806"/>
    <cellStyle name="标题 5 4 2" xfId="807"/>
    <cellStyle name="标题 6" xfId="808"/>
    <cellStyle name="标题 6 2" xfId="809"/>
    <cellStyle name="标题 6 2 2" xfId="810"/>
    <cellStyle name="标题 6 2 2 2" xfId="811"/>
    <cellStyle name="标题 6 3" xfId="812"/>
    <cellStyle name="标题 6 3 2" xfId="813"/>
    <cellStyle name="标题 7" xfId="814"/>
    <cellStyle name="标题 7 2" xfId="815"/>
    <cellStyle name="标题 7 2 2" xfId="816"/>
    <cellStyle name="标题 7 2 2 2" xfId="817"/>
    <cellStyle name="标题 7 3" xfId="818"/>
    <cellStyle name="标题 7 3 2" xfId="819"/>
    <cellStyle name="标题 8" xfId="820"/>
    <cellStyle name="标题 8 2" xfId="821"/>
    <cellStyle name="标题 8 2 2" xfId="822"/>
    <cellStyle name="标题 9" xfId="823"/>
    <cellStyle name="标题 9 2" xfId="824"/>
    <cellStyle name="标题 9 2 2" xfId="825"/>
    <cellStyle name="差 2" xfId="826"/>
    <cellStyle name="差 2 2" xfId="827"/>
    <cellStyle name="差 2 2 2" xfId="828"/>
    <cellStyle name="差 2 2 2 2" xfId="829"/>
    <cellStyle name="差 2 3" xfId="830"/>
    <cellStyle name="差 2 3 2" xfId="831"/>
    <cellStyle name="差 2 3 2 2" xfId="832"/>
    <cellStyle name="差 2 4" xfId="833"/>
    <cellStyle name="差 2 4 2" xfId="834"/>
    <cellStyle name="差 2 4 3" xfId="835"/>
    <cellStyle name="差 2 5" xfId="836"/>
    <cellStyle name="差 3" xfId="837"/>
    <cellStyle name="差 3 2" xfId="838"/>
    <cellStyle name="差 3 2 2" xfId="839"/>
    <cellStyle name="差 3 2 2 2" xfId="840"/>
    <cellStyle name="差 3 3" xfId="841"/>
    <cellStyle name="差 3 3 2" xfId="842"/>
    <cellStyle name="差 4" xfId="843"/>
    <cellStyle name="差 4 2" xfId="844"/>
    <cellStyle name="差 4 2 2" xfId="845"/>
    <cellStyle name="差 4 2 2 2" xfId="846"/>
    <cellStyle name="差 4 3" xfId="847"/>
    <cellStyle name="差 4 3 2" xfId="848"/>
    <cellStyle name="差 5" xfId="849"/>
    <cellStyle name="差 6" xfId="850"/>
    <cellStyle name="差 6 2" xfId="851"/>
    <cellStyle name="差 6 2 2" xfId="852"/>
    <cellStyle name="常规 10" xfId="853"/>
    <cellStyle name="常规 10 2" xfId="854"/>
    <cellStyle name="常规 10 2 2" xfId="855"/>
    <cellStyle name="常规 10 2 3" xfId="856"/>
    <cellStyle name="常规 10 2 4" xfId="857"/>
    <cellStyle name="常规 10 3" xfId="858"/>
    <cellStyle name="常规 10 3 2" xfId="859"/>
    <cellStyle name="常规 10 3 3" xfId="860"/>
    <cellStyle name="常规 10 3 4" xfId="861"/>
    <cellStyle name="常规 11" xfId="862"/>
    <cellStyle name="常规 12" xfId="863"/>
    <cellStyle name="常规 13" xfId="864"/>
    <cellStyle name="常规 13 2" xfId="865"/>
    <cellStyle name="常规 13 2 2" xfId="866"/>
    <cellStyle name="常规 13 2 3" xfId="867"/>
    <cellStyle name="常规 13 2 4" xfId="868"/>
    <cellStyle name="常规 13 3" xfId="869"/>
    <cellStyle name="常规 13 3 2" xfId="870"/>
    <cellStyle name="常规 13 3 3" xfId="871"/>
    <cellStyle name="常规 13 3 4" xfId="872"/>
    <cellStyle name="常规 13 4" xfId="873"/>
    <cellStyle name="常规 13 4 2" xfId="874"/>
    <cellStyle name="常规 13 4 3" xfId="875"/>
    <cellStyle name="常规 13 5" xfId="876"/>
    <cellStyle name="常规 13 5 2" xfId="877"/>
    <cellStyle name="常规 13 5 2 2" xfId="878"/>
    <cellStyle name="常规 14" xfId="879"/>
    <cellStyle name="常规 2" xfId="880"/>
    <cellStyle name="常规 2 2" xfId="881"/>
    <cellStyle name="常规 2 2 2" xfId="882"/>
    <cellStyle name="常规 2 2 2 2" xfId="883"/>
    <cellStyle name="常规 2 2 2 2 2" xfId="884"/>
    <cellStyle name="常规 2 2 3" xfId="885"/>
    <cellStyle name="常规 2 2 3 2" xfId="886"/>
    <cellStyle name="常规 2 2 3 2 2" xfId="887"/>
    <cellStyle name="常规 2 2 4" xfId="888"/>
    <cellStyle name="常规 2 2 4 2" xfId="889"/>
    <cellStyle name="常规 2 2 4 3" xfId="890"/>
    <cellStyle name="常规 2 2 5" xfId="891"/>
    <cellStyle name="常规 2 3" xfId="892"/>
    <cellStyle name="常规 2 3 2" xfId="893"/>
    <cellStyle name="常规 2 3 2 2" xfId="894"/>
    <cellStyle name="常规 2 3 2 2 2" xfId="895"/>
    <cellStyle name="常规 2 3 3" xfId="896"/>
    <cellStyle name="常规 2 3 3 2" xfId="897"/>
    <cellStyle name="常规 2 4" xfId="898"/>
    <cellStyle name="常规 2 4 2" xfId="899"/>
    <cellStyle name="常规 2 4 2 2" xfId="900"/>
    <cellStyle name="常规 2 5" xfId="901"/>
    <cellStyle name="常规 2 5 2" xfId="902"/>
    <cellStyle name="常规 2 5 2 2" xfId="903"/>
    <cellStyle name="常规 2 6" xfId="904"/>
    <cellStyle name="常规 2 6 2" xfId="905"/>
    <cellStyle name="常规 2 6 3" xfId="906"/>
    <cellStyle name="常规 2 7" xfId="907"/>
    <cellStyle name="常规 3" xfId="908"/>
    <cellStyle name="常规 3 2" xfId="909"/>
    <cellStyle name="常规 3 2 2" xfId="910"/>
    <cellStyle name="常规 3 2 2 2" xfId="911"/>
    <cellStyle name="常规 3 2 2 2 2" xfId="912"/>
    <cellStyle name="常规 3 2 3" xfId="913"/>
    <cellStyle name="常规 3 2 3 2" xfId="914"/>
    <cellStyle name="常规 3 2 3 2 2" xfId="915"/>
    <cellStyle name="常规 3 2 4" xfId="916"/>
    <cellStyle name="常规 3 2 4 2" xfId="917"/>
    <cellStyle name="常规 3 2 4 3" xfId="918"/>
    <cellStyle name="常规 3 2 5" xfId="919"/>
    <cellStyle name="常规 3 3" xfId="920"/>
    <cellStyle name="常规 3 3 2" xfId="921"/>
    <cellStyle name="常规 3 3 2 2" xfId="922"/>
    <cellStyle name="常规 3 4" xfId="923"/>
    <cellStyle name="常规 3 4 2" xfId="924"/>
    <cellStyle name="常规 3 4 2 2" xfId="925"/>
    <cellStyle name="常规 3 5" xfId="926"/>
    <cellStyle name="常规 3 5 2" xfId="927"/>
    <cellStyle name="常规 3 6" xfId="928"/>
    <cellStyle name="常规 4" xfId="929"/>
    <cellStyle name="常规 4 2" xfId="930"/>
    <cellStyle name="常规 4 2 2" xfId="931"/>
    <cellStyle name="常规 4 2 2 2" xfId="932"/>
    <cellStyle name="常规 4 2 2 3" xfId="933"/>
    <cellStyle name="常规 4 2 2 4" xfId="934"/>
    <cellStyle name="常规 4 2 3" xfId="935"/>
    <cellStyle name="常规 4 2 3 2" xfId="936"/>
    <cellStyle name="常规 4 3" xfId="937"/>
    <cellStyle name="常规 4 3 2" xfId="938"/>
    <cellStyle name="常规 4 3 2 2" xfId="939"/>
    <cellStyle name="常规 4 4" xfId="940"/>
    <cellStyle name="常规 4 4 2" xfId="941"/>
    <cellStyle name="常规 4 4 3" xfId="942"/>
    <cellStyle name="常规 4 4 4" xfId="943"/>
    <cellStyle name="常规 4 5" xfId="944"/>
    <cellStyle name="常规 4 5 2" xfId="945"/>
    <cellStyle name="常规 4 5 3" xfId="946"/>
    <cellStyle name="常规 4 6" xfId="947"/>
    <cellStyle name="常规 4 6 2" xfId="948"/>
    <cellStyle name="常规 4 6 2 2" xfId="949"/>
    <cellStyle name="常规 5" xfId="950"/>
    <cellStyle name="常规 5 2" xfId="951"/>
    <cellStyle name="常规 5 3" xfId="952"/>
    <cellStyle name="常规 5 3 2" xfId="953"/>
    <cellStyle name="常规 5 3 2 2" xfId="954"/>
    <cellStyle name="常规 5 4" xfId="955"/>
    <cellStyle name="常规 5 4 2" xfId="956"/>
    <cellStyle name="常规 5 4 3" xfId="957"/>
    <cellStyle name="常规 5 5" xfId="958"/>
    <cellStyle name="常规 52" xfId="959"/>
    <cellStyle name="常规 52 2" xfId="960"/>
    <cellStyle name="常规 52 2 2" xfId="961"/>
    <cellStyle name="常规 52 2 2 2" xfId="962"/>
    <cellStyle name="常规 52 2 2 2 2" xfId="963"/>
    <cellStyle name="常规 52 2 3" xfId="964"/>
    <cellStyle name="常规 52 2 3 2" xfId="965"/>
    <cellStyle name="常规 52 3" xfId="966"/>
    <cellStyle name="常规 52 3 2" xfId="967"/>
    <cellStyle name="常规 52 3 2 2" xfId="968"/>
    <cellStyle name="常规 52 4" xfId="969"/>
    <cellStyle name="常规 52 4 2" xfId="970"/>
    <cellStyle name="常规 52 4 2 2" xfId="971"/>
    <cellStyle name="常规 52 5" xfId="972"/>
    <cellStyle name="常规 52 5 2" xfId="973"/>
    <cellStyle name="常规 52 5 2 2" xfId="974"/>
    <cellStyle name="常规 52 6" xfId="975"/>
    <cellStyle name="常规 52 6 2" xfId="976"/>
    <cellStyle name="常规 52 7" xfId="977"/>
    <cellStyle name="常规 54" xfId="978"/>
    <cellStyle name="常规 54 2" xfId="979"/>
    <cellStyle name="常规 54 2 2" xfId="980"/>
    <cellStyle name="常规 54 2 2 2" xfId="981"/>
    <cellStyle name="常规 54 2 2 2 2" xfId="982"/>
    <cellStyle name="常规 54 2 2 2 3" xfId="983"/>
    <cellStyle name="常规 54 2 2 2 4" xfId="984"/>
    <cellStyle name="常规 54 2 3" xfId="985"/>
    <cellStyle name="常规 54 2 3 2" xfId="986"/>
    <cellStyle name="常规 54 2 3 2 2" xfId="987"/>
    <cellStyle name="常规 54 2 4" xfId="988"/>
    <cellStyle name="常规 54 2 4 2" xfId="989"/>
    <cellStyle name="常规 54 2 4 3" xfId="990"/>
    <cellStyle name="常规 54 2 4 4" xfId="991"/>
    <cellStyle name="常规 54 3" xfId="992"/>
    <cellStyle name="常规 54 3 2" xfId="993"/>
    <cellStyle name="常规 54 3 2 2" xfId="994"/>
    <cellStyle name="常规 54 4" xfId="995"/>
    <cellStyle name="常规 54 4 2" xfId="996"/>
    <cellStyle name="常规 54 5" xfId="997"/>
    <cellStyle name="常规 6" xfId="998"/>
    <cellStyle name="常规 6 2" xfId="999"/>
    <cellStyle name="常规 6 2 2" xfId="1000"/>
    <cellStyle name="常规 7" xfId="1001"/>
    <cellStyle name="常规 7 2" xfId="1002"/>
    <cellStyle name="常规 7 3" xfId="1003"/>
    <cellStyle name="常规 7 4" xfId="1004"/>
    <cellStyle name="常规 8" xfId="1005"/>
    <cellStyle name="常规 8 2" xfId="1006"/>
    <cellStyle name="常规 8 2 2" xfId="1007"/>
    <cellStyle name="常规 9" xfId="1008"/>
    <cellStyle name="好 2" xfId="1009"/>
    <cellStyle name="好 2 2" xfId="1010"/>
    <cellStyle name="好 2 2 2" xfId="1011"/>
    <cellStyle name="好 2 2 2 2" xfId="1012"/>
    <cellStyle name="好 2 3" xfId="1013"/>
    <cellStyle name="好 2 3 2" xfId="1014"/>
    <cellStyle name="好 2 3 2 2" xfId="1015"/>
    <cellStyle name="好 2 4" xfId="1016"/>
    <cellStyle name="好 2 4 2" xfId="1017"/>
    <cellStyle name="好 2 4 3" xfId="1018"/>
    <cellStyle name="好 2 5" xfId="1019"/>
    <cellStyle name="好 3" xfId="1020"/>
    <cellStyle name="好 3 2" xfId="1021"/>
    <cellStyle name="好 3 2 2" xfId="1022"/>
    <cellStyle name="好 3 2 2 2" xfId="1023"/>
    <cellStyle name="好 3 3" xfId="1024"/>
    <cellStyle name="好 3 3 2" xfId="1025"/>
    <cellStyle name="好 4" xfId="1026"/>
    <cellStyle name="好 4 2" xfId="1027"/>
    <cellStyle name="好 4 2 2" xfId="1028"/>
    <cellStyle name="好 4 2 2 2" xfId="1029"/>
    <cellStyle name="好 4 3" xfId="1030"/>
    <cellStyle name="好 4 3 2" xfId="1031"/>
    <cellStyle name="好 5" xfId="1032"/>
    <cellStyle name="好 6" xfId="1033"/>
    <cellStyle name="好 6 2" xfId="1034"/>
    <cellStyle name="好 6 2 2" xfId="1035"/>
    <cellStyle name="汇总 2" xfId="1036"/>
    <cellStyle name="汇总 2 2" xfId="1037"/>
    <cellStyle name="汇总 2 2 2" xfId="1038"/>
    <cellStyle name="汇总 2 2 2 2" xfId="1039"/>
    <cellStyle name="汇总 2 2 2 3" xfId="1040"/>
    <cellStyle name="汇总 2 2 2 4" xfId="1041"/>
    <cellStyle name="汇总 2 2 3" xfId="1042"/>
    <cellStyle name="汇总 2 2 3 2" xfId="1043"/>
    <cellStyle name="汇总 2 2 3 3" xfId="1044"/>
    <cellStyle name="汇总 2 2 4" xfId="1045"/>
    <cellStyle name="汇总 2 3" xfId="1046"/>
    <cellStyle name="汇总 2 3 2" xfId="1047"/>
    <cellStyle name="汇总 2 3 2 2" xfId="1048"/>
    <cellStyle name="汇总 2 3 2 3" xfId="1049"/>
    <cellStyle name="汇总 2 3 2 4" xfId="1050"/>
    <cellStyle name="汇总 2 3 3" xfId="1051"/>
    <cellStyle name="汇总 2 3 3 2" xfId="1052"/>
    <cellStyle name="汇总 2 3 3 3" xfId="1053"/>
    <cellStyle name="汇总 2 3 4" xfId="1054"/>
    <cellStyle name="汇总 2 4" xfId="1055"/>
    <cellStyle name="汇总 2 4 2" xfId="1056"/>
    <cellStyle name="汇总 2 4 3" xfId="1057"/>
    <cellStyle name="汇总 2 4 4" xfId="1058"/>
    <cellStyle name="汇总 2 5" xfId="1059"/>
    <cellStyle name="汇总 2 5 2" xfId="1060"/>
    <cellStyle name="汇总 2 5 3" xfId="1061"/>
    <cellStyle name="汇总 2 6" xfId="1062"/>
    <cellStyle name="汇总 3" xfId="1063"/>
    <cellStyle name="汇总 3 2" xfId="1064"/>
    <cellStyle name="汇总 3 2 2" xfId="1065"/>
    <cellStyle name="汇总 3 2 2 2" xfId="1066"/>
    <cellStyle name="汇总 3 2 2 3" xfId="1067"/>
    <cellStyle name="汇总 3 2 2 4" xfId="1068"/>
    <cellStyle name="汇总 3 2 3" xfId="1069"/>
    <cellStyle name="汇总 3 2 3 2" xfId="1070"/>
    <cellStyle name="汇总 3 2 3 3" xfId="1071"/>
    <cellStyle name="汇总 3 2 4" xfId="1072"/>
    <cellStyle name="汇总 3 3" xfId="1073"/>
    <cellStyle name="汇总 3 3 2" xfId="1074"/>
    <cellStyle name="汇总 3 3 3" xfId="1075"/>
    <cellStyle name="汇总 3 3 4" xfId="1076"/>
    <cellStyle name="汇总 3 4" xfId="1077"/>
    <cellStyle name="汇总 3 4 2" xfId="1078"/>
    <cellStyle name="汇总 3 4 3" xfId="1079"/>
    <cellStyle name="汇总 3 5" xfId="1080"/>
    <cellStyle name="汇总 4" xfId="1081"/>
    <cellStyle name="汇总 4 2" xfId="1082"/>
    <cellStyle name="汇总 4 2 2" xfId="1083"/>
    <cellStyle name="汇总 4 2 2 2" xfId="1084"/>
    <cellStyle name="汇总 4 2 2 3" xfId="1085"/>
    <cellStyle name="汇总 4 2 2 4" xfId="1086"/>
    <cellStyle name="汇总 4 2 3" xfId="1087"/>
    <cellStyle name="汇总 4 2 3 2" xfId="1088"/>
    <cellStyle name="汇总 4 2 3 3" xfId="1089"/>
    <cellStyle name="汇总 4 2 4" xfId="1090"/>
    <cellStyle name="汇总 4 3" xfId="1091"/>
    <cellStyle name="汇总 4 3 2" xfId="1092"/>
    <cellStyle name="汇总 4 3 3" xfId="1093"/>
    <cellStyle name="汇总 4 3 4" xfId="1094"/>
    <cellStyle name="汇总 4 4" xfId="1095"/>
    <cellStyle name="汇总 4 4 2" xfId="1096"/>
    <cellStyle name="汇总 4 4 3" xfId="1097"/>
    <cellStyle name="汇总 4 5" xfId="1098"/>
    <cellStyle name="汇总 5" xfId="1099"/>
    <cellStyle name="汇总 5 2" xfId="1100"/>
    <cellStyle name="汇总 5 2 2" xfId="1101"/>
    <cellStyle name="汇总 5 2 3" xfId="1102"/>
    <cellStyle name="汇总 5 3" xfId="1103"/>
    <cellStyle name="汇总 6" xfId="1104"/>
    <cellStyle name="汇总 6 2" xfId="1105"/>
    <cellStyle name="汇总 6 2 2" xfId="1106"/>
    <cellStyle name="汇总 6 2 3" xfId="1107"/>
    <cellStyle name="汇总 6 2 4" xfId="1108"/>
    <cellStyle name="汇总 6 3" xfId="1109"/>
    <cellStyle name="汇总 6 3 2" xfId="1110"/>
    <cellStyle name="汇总 6 3 3" xfId="1111"/>
    <cellStyle name="汇总 6 4" xfId="1112"/>
    <cellStyle name="货币[0] 2" xfId="1113"/>
    <cellStyle name="计算 2" xfId="1114"/>
    <cellStyle name="计算 2 2" xfId="1115"/>
    <cellStyle name="计算 2 2 2" xfId="1116"/>
    <cellStyle name="计算 2 2 2 2" xfId="1117"/>
    <cellStyle name="计算 2 2 2 3" xfId="1118"/>
    <cellStyle name="计算 2 2 2 4" xfId="1119"/>
    <cellStyle name="计算 2 2 3" xfId="1120"/>
    <cellStyle name="计算 2 2 3 2" xfId="1121"/>
    <cellStyle name="计算 2 2 3 3" xfId="1122"/>
    <cellStyle name="计算 2 2 4" xfId="1123"/>
    <cellStyle name="计算 2 3" xfId="1124"/>
    <cellStyle name="计算 2 3 2" xfId="1125"/>
    <cellStyle name="计算 2 3 2 2" xfId="1126"/>
    <cellStyle name="计算 2 3 2 3" xfId="1127"/>
    <cellStyle name="计算 2 3 2 4" xfId="1128"/>
    <cellStyle name="计算 2 3 3" xfId="1129"/>
    <cellStyle name="计算 2 3 3 2" xfId="1130"/>
    <cellStyle name="计算 2 3 3 3" xfId="1131"/>
    <cellStyle name="计算 2 3 4" xfId="1132"/>
    <cellStyle name="计算 2 4" xfId="1133"/>
    <cellStyle name="计算 2 4 2" xfId="1134"/>
    <cellStyle name="计算 2 4 3" xfId="1135"/>
    <cellStyle name="计算 2 4 4" xfId="1136"/>
    <cellStyle name="计算 2 4 5" xfId="1137"/>
    <cellStyle name="计算 2 5" xfId="1138"/>
    <cellStyle name="计算 2 5 2" xfId="1139"/>
    <cellStyle name="计算 2 5 3" xfId="1140"/>
    <cellStyle name="计算 2 6" xfId="1141"/>
    <cellStyle name="计算 2 7" xfId="1142"/>
    <cellStyle name="计算 3" xfId="1143"/>
    <cellStyle name="计算 3 2" xfId="1144"/>
    <cellStyle name="计算 3 2 2" xfId="1145"/>
    <cellStyle name="计算 3 2 2 2" xfId="1146"/>
    <cellStyle name="计算 3 2 2 3" xfId="1147"/>
    <cellStyle name="计算 3 2 2 4" xfId="1148"/>
    <cellStyle name="计算 3 2 3" xfId="1149"/>
    <cellStyle name="计算 3 2 3 2" xfId="1150"/>
    <cellStyle name="计算 3 2 3 3" xfId="1151"/>
    <cellStyle name="计算 3 2 4" xfId="1152"/>
    <cellStyle name="计算 3 3" xfId="1153"/>
    <cellStyle name="计算 3 3 2" xfId="1154"/>
    <cellStyle name="计算 3 3 3" xfId="1155"/>
    <cellStyle name="计算 3 3 4" xfId="1156"/>
    <cellStyle name="计算 3 4" xfId="1157"/>
    <cellStyle name="计算 3 4 2" xfId="1158"/>
    <cellStyle name="计算 3 4 3" xfId="1159"/>
    <cellStyle name="计算 3 5" xfId="1160"/>
    <cellStyle name="计算 4" xfId="1161"/>
    <cellStyle name="计算 4 2" xfId="1162"/>
    <cellStyle name="计算 4 2 2" xfId="1163"/>
    <cellStyle name="计算 4 2 2 2" xfId="1164"/>
    <cellStyle name="计算 4 2 2 3" xfId="1165"/>
    <cellStyle name="计算 4 2 2 4" xfId="1166"/>
    <cellStyle name="计算 4 2 3" xfId="1167"/>
    <cellStyle name="计算 4 2 3 2" xfId="1168"/>
    <cellStyle name="计算 4 2 3 3" xfId="1169"/>
    <cellStyle name="计算 4 2 4" xfId="1170"/>
    <cellStyle name="计算 4 3" xfId="1171"/>
    <cellStyle name="计算 4 3 2" xfId="1172"/>
    <cellStyle name="计算 4 3 3" xfId="1173"/>
    <cellStyle name="计算 4 3 4" xfId="1174"/>
    <cellStyle name="计算 4 4" xfId="1175"/>
    <cellStyle name="计算 4 4 2" xfId="1176"/>
    <cellStyle name="计算 4 4 3" xfId="1177"/>
    <cellStyle name="计算 4 5" xfId="1178"/>
    <cellStyle name="计算 5" xfId="1179"/>
    <cellStyle name="计算 5 2" xfId="1180"/>
    <cellStyle name="计算 5 2 2" xfId="1181"/>
    <cellStyle name="计算 5 2 3" xfId="1182"/>
    <cellStyle name="计算 5 3" xfId="1183"/>
    <cellStyle name="计算 6" xfId="1184"/>
    <cellStyle name="计算 6 2" xfId="1185"/>
    <cellStyle name="计算 6 2 2" xfId="1186"/>
    <cellStyle name="计算 6 2 3" xfId="1187"/>
    <cellStyle name="计算 6 2 4" xfId="1188"/>
    <cellStyle name="计算 6 3" xfId="1189"/>
    <cellStyle name="计算 6 3 2" xfId="1190"/>
    <cellStyle name="计算 6 3 3" xfId="1191"/>
    <cellStyle name="计算 6 4" xfId="1192"/>
    <cellStyle name="检查单元格 2" xfId="1193"/>
    <cellStyle name="检查单元格 2 2" xfId="1194"/>
    <cellStyle name="检查单元格 2 2 2" xfId="1195"/>
    <cellStyle name="检查单元格 2 2 2 2" xfId="1196"/>
    <cellStyle name="检查单元格 2 3" xfId="1197"/>
    <cellStyle name="检查单元格 2 3 2" xfId="1198"/>
    <cellStyle name="检查单元格 2 3 2 2" xfId="1199"/>
    <cellStyle name="检查单元格 2 4" xfId="1200"/>
    <cellStyle name="检查单元格 2 4 2" xfId="1201"/>
    <cellStyle name="检查单元格 2 4 3" xfId="1202"/>
    <cellStyle name="检查单元格 2 5" xfId="1203"/>
    <cellStyle name="检查单元格 3" xfId="1204"/>
    <cellStyle name="检查单元格 3 2" xfId="1205"/>
    <cellStyle name="检查单元格 3 2 2" xfId="1206"/>
    <cellStyle name="检查单元格 3 2 2 2" xfId="1207"/>
    <cellStyle name="检查单元格 3 3" xfId="1208"/>
    <cellStyle name="检查单元格 3 3 2" xfId="1209"/>
    <cellStyle name="检查单元格 4" xfId="1210"/>
    <cellStyle name="检查单元格 4 2" xfId="1211"/>
    <cellStyle name="检查单元格 4 2 2" xfId="1212"/>
    <cellStyle name="检查单元格 4 2 2 2" xfId="1213"/>
    <cellStyle name="检查单元格 4 3" xfId="1214"/>
    <cellStyle name="检查单元格 4 3 2" xfId="1215"/>
    <cellStyle name="检查单元格 5" xfId="1216"/>
    <cellStyle name="检查单元格 6" xfId="1217"/>
    <cellStyle name="检查单元格 6 2" xfId="1218"/>
    <cellStyle name="检查单元格 6 2 2" xfId="1219"/>
    <cellStyle name="解释性文本 2" xfId="1220"/>
    <cellStyle name="解释性文本 2 2" xfId="1221"/>
    <cellStyle name="解释性文本 2 2 2" xfId="1222"/>
    <cellStyle name="解释性文本 2 2 2 2" xfId="1223"/>
    <cellStyle name="解释性文本 2 3" xfId="1224"/>
    <cellStyle name="解释性文本 2 3 2" xfId="1225"/>
    <cellStyle name="解释性文本 2 3 2 2" xfId="1226"/>
    <cellStyle name="解释性文本 2 4" xfId="1227"/>
    <cellStyle name="解释性文本 2 4 2" xfId="1228"/>
    <cellStyle name="解释性文本 3" xfId="1229"/>
    <cellStyle name="解释性文本 3 2" xfId="1230"/>
    <cellStyle name="解释性文本 3 2 2" xfId="1231"/>
    <cellStyle name="解释性文本 3 2 2 2" xfId="1232"/>
    <cellStyle name="解释性文本 3 3" xfId="1233"/>
    <cellStyle name="解释性文本 3 3 2" xfId="1234"/>
    <cellStyle name="解释性文本 4" xfId="1235"/>
    <cellStyle name="解释性文本 4 2" xfId="1236"/>
    <cellStyle name="解释性文本 4 2 2" xfId="1237"/>
    <cellStyle name="解释性文本 4 2 2 2" xfId="1238"/>
    <cellStyle name="解释性文本 4 3" xfId="1239"/>
    <cellStyle name="解释性文本 4 3 2" xfId="1240"/>
    <cellStyle name="解释性文本 5" xfId="1241"/>
    <cellStyle name="解释性文本 6" xfId="1242"/>
    <cellStyle name="解释性文本 6 2" xfId="1243"/>
    <cellStyle name="解释性文本 6 2 2" xfId="1244"/>
    <cellStyle name="警告文本 2" xfId="1245"/>
    <cellStyle name="警告文本 2 2" xfId="1246"/>
    <cellStyle name="警告文本 2 2 2" xfId="1247"/>
    <cellStyle name="警告文本 2 2 2 2" xfId="1248"/>
    <cellStyle name="警告文本 2 3" xfId="1249"/>
    <cellStyle name="警告文本 2 3 2" xfId="1250"/>
    <cellStyle name="警告文本 2 3 2 2" xfId="1251"/>
    <cellStyle name="警告文本 2 4" xfId="1252"/>
    <cellStyle name="警告文本 2 4 2" xfId="1253"/>
    <cellStyle name="警告文本 3" xfId="1254"/>
    <cellStyle name="警告文本 3 2" xfId="1255"/>
    <cellStyle name="警告文本 3 2 2" xfId="1256"/>
    <cellStyle name="警告文本 3 2 2 2" xfId="1257"/>
    <cellStyle name="警告文本 3 3" xfId="1258"/>
    <cellStyle name="警告文本 3 3 2" xfId="1259"/>
    <cellStyle name="警告文本 4" xfId="1260"/>
    <cellStyle name="警告文本 4 2" xfId="1261"/>
    <cellStyle name="警告文本 4 2 2" xfId="1262"/>
    <cellStyle name="警告文本 4 2 2 2" xfId="1263"/>
    <cellStyle name="警告文本 4 3" xfId="1264"/>
    <cellStyle name="警告文本 4 3 2" xfId="1265"/>
    <cellStyle name="警告文本 5" xfId="1266"/>
    <cellStyle name="警告文本 6" xfId="1267"/>
    <cellStyle name="警告文本 6 2" xfId="1268"/>
    <cellStyle name="警告文本 6 2 2" xfId="1269"/>
    <cellStyle name="链接单元格 2" xfId="1270"/>
    <cellStyle name="链接单元格 2 2" xfId="1271"/>
    <cellStyle name="链接单元格 2 2 2" xfId="1272"/>
    <cellStyle name="链接单元格 2 2 2 2" xfId="1273"/>
    <cellStyle name="链接单元格 2 3" xfId="1274"/>
    <cellStyle name="链接单元格 2 3 2" xfId="1275"/>
    <cellStyle name="链接单元格 2 3 2 2" xfId="1276"/>
    <cellStyle name="链接单元格 2 4" xfId="1277"/>
    <cellStyle name="链接单元格 2 4 2" xfId="1278"/>
    <cellStyle name="链接单元格 3" xfId="1279"/>
    <cellStyle name="链接单元格 3 2" xfId="1280"/>
    <cellStyle name="链接单元格 3 2 2" xfId="1281"/>
    <cellStyle name="链接单元格 3 2 2 2" xfId="1282"/>
    <cellStyle name="链接单元格 3 3" xfId="1283"/>
    <cellStyle name="链接单元格 3 3 2" xfId="1284"/>
    <cellStyle name="链接单元格 4" xfId="1285"/>
    <cellStyle name="链接单元格 4 2" xfId="1286"/>
    <cellStyle name="链接单元格 4 2 2" xfId="1287"/>
    <cellStyle name="链接单元格 4 2 2 2" xfId="1288"/>
    <cellStyle name="链接单元格 4 3" xfId="1289"/>
    <cellStyle name="链接单元格 4 3 2" xfId="1290"/>
    <cellStyle name="链接单元格 5" xfId="1291"/>
    <cellStyle name="链接单元格 6" xfId="1292"/>
    <cellStyle name="链接单元格 6 2" xfId="1293"/>
    <cellStyle name="链接单元格 6 2 2" xfId="1294"/>
    <cellStyle name="普通 2" xfId="1295"/>
    <cellStyle name="普通 3" xfId="1296"/>
    <cellStyle name="千位分隔 2" xfId="1297"/>
    <cellStyle name="千位分隔 2 2" xfId="1298"/>
    <cellStyle name="千位分隔 2 3" xfId="1299"/>
    <cellStyle name="千位分隔 2 3 2" xfId="1300"/>
    <cellStyle name="千位分隔 3" xfId="1301"/>
    <cellStyle name="千位分隔 3 2" xfId="1302"/>
    <cellStyle name="千位分隔 3 3" xfId="1303"/>
    <cellStyle name="千位分隔 3 4" xfId="1304"/>
    <cellStyle name="千位分隔 4" xfId="1305"/>
    <cellStyle name="千位分隔 4 2" xfId="1306"/>
    <cellStyle name="千位分隔 4 2 2" xfId="1307"/>
    <cellStyle name="千位分隔 5" xfId="1308"/>
    <cellStyle name="千位分隔 5 2" xfId="1309"/>
    <cellStyle name="千位分隔 5 2 2" xfId="1310"/>
    <cellStyle name="千位分隔 5 3" xfId="1311"/>
    <cellStyle name="千位分隔 6" xfId="1312"/>
    <cellStyle name="强调文字颜色 1 2" xfId="1313"/>
    <cellStyle name="强调文字颜色 1 2 2" xfId="1314"/>
    <cellStyle name="强调文字颜色 1 2 2 2" xfId="1315"/>
    <cellStyle name="强调文字颜色 1 2 2 2 2" xfId="1316"/>
    <cellStyle name="强调文字颜色 1 2 3" xfId="1317"/>
    <cellStyle name="强调文字颜色 1 2 3 2" xfId="1318"/>
    <cellStyle name="强调文字颜色 1 2 3 2 2" xfId="1319"/>
    <cellStyle name="强调文字颜色 1 2 4" xfId="1320"/>
    <cellStyle name="强调文字颜色 1 2 4 2" xfId="1321"/>
    <cellStyle name="强调文字颜色 1 2 4 3" xfId="1322"/>
    <cellStyle name="强调文字颜色 1 2 5" xfId="1323"/>
    <cellStyle name="强调文字颜色 1 3" xfId="1324"/>
    <cellStyle name="强调文字颜色 1 3 2" xfId="1325"/>
    <cellStyle name="强调文字颜色 1 3 2 2" xfId="1326"/>
    <cellStyle name="强调文字颜色 1 3 2 2 2" xfId="1327"/>
    <cellStyle name="强调文字颜色 1 3 3" xfId="1328"/>
    <cellStyle name="强调文字颜色 1 3 3 2" xfId="1329"/>
    <cellStyle name="强调文字颜色 1 4" xfId="1330"/>
    <cellStyle name="强调文字颜色 1 4 2" xfId="1331"/>
    <cellStyle name="强调文字颜色 1 4 2 2" xfId="1332"/>
    <cellStyle name="强调文字颜色 1 4 2 2 2" xfId="1333"/>
    <cellStyle name="强调文字颜色 1 4 3" xfId="1334"/>
    <cellStyle name="强调文字颜色 1 4 3 2" xfId="1335"/>
    <cellStyle name="强调文字颜色 1 5" xfId="1336"/>
    <cellStyle name="强调文字颜色 1 6" xfId="1337"/>
    <cellStyle name="强调文字颜色 1 6 2" xfId="1338"/>
    <cellStyle name="强调文字颜色 1 6 2 2" xfId="1339"/>
    <cellStyle name="强调文字颜色 2 2" xfId="1340"/>
    <cellStyle name="强调文字颜色 2 2 2" xfId="1341"/>
    <cellStyle name="强调文字颜色 2 2 2 2" xfId="1342"/>
    <cellStyle name="强调文字颜色 2 2 2 2 2" xfId="1343"/>
    <cellStyle name="强调文字颜色 2 2 3" xfId="1344"/>
    <cellStyle name="强调文字颜色 2 2 3 2" xfId="1345"/>
    <cellStyle name="强调文字颜色 2 2 3 2 2" xfId="1346"/>
    <cellStyle name="强调文字颜色 2 2 4" xfId="1347"/>
    <cellStyle name="强调文字颜色 2 2 4 2" xfId="1348"/>
    <cellStyle name="强调文字颜色 2 2 4 3" xfId="1349"/>
    <cellStyle name="强调文字颜色 2 2 5" xfId="1350"/>
    <cellStyle name="强调文字颜色 2 3" xfId="1351"/>
    <cellStyle name="强调文字颜色 2 3 2" xfId="1352"/>
    <cellStyle name="强调文字颜色 2 3 2 2" xfId="1353"/>
    <cellStyle name="强调文字颜色 2 3 2 2 2" xfId="1354"/>
    <cellStyle name="强调文字颜色 2 3 3" xfId="1355"/>
    <cellStyle name="强调文字颜色 2 3 3 2" xfId="1356"/>
    <cellStyle name="强调文字颜色 2 4" xfId="1357"/>
    <cellStyle name="强调文字颜色 2 4 2" xfId="1358"/>
    <cellStyle name="强调文字颜色 2 4 2 2" xfId="1359"/>
    <cellStyle name="强调文字颜色 2 4 2 2 2" xfId="1360"/>
    <cellStyle name="强调文字颜色 2 4 3" xfId="1361"/>
    <cellStyle name="强调文字颜色 2 4 3 2" xfId="1362"/>
    <cellStyle name="强调文字颜色 2 5" xfId="1363"/>
    <cellStyle name="强调文字颜色 2 6" xfId="1364"/>
    <cellStyle name="强调文字颜色 2 6 2" xfId="1365"/>
    <cellStyle name="强调文字颜色 2 6 2 2" xfId="1366"/>
    <cellStyle name="强调文字颜色 3 2" xfId="1367"/>
    <cellStyle name="强调文字颜色 3 2 2" xfId="1368"/>
    <cellStyle name="强调文字颜色 3 2 2 2" xfId="1369"/>
    <cellStyle name="强调文字颜色 3 2 2 2 2" xfId="1370"/>
    <cellStyle name="强调文字颜色 3 2 3" xfId="1371"/>
    <cellStyle name="强调文字颜色 3 2 3 2" xfId="1372"/>
    <cellStyle name="强调文字颜色 3 2 3 2 2" xfId="1373"/>
    <cellStyle name="强调文字颜色 3 2 4" xfId="1374"/>
    <cellStyle name="强调文字颜色 3 2 4 2" xfId="1375"/>
    <cellStyle name="强调文字颜色 3 2 4 3" xfId="1376"/>
    <cellStyle name="强调文字颜色 3 2 5" xfId="1377"/>
    <cellStyle name="强调文字颜色 3 3" xfId="1378"/>
    <cellStyle name="强调文字颜色 3 3 2" xfId="1379"/>
    <cellStyle name="强调文字颜色 3 3 2 2" xfId="1380"/>
    <cellStyle name="强调文字颜色 3 3 2 2 2" xfId="1381"/>
    <cellStyle name="强调文字颜色 3 3 3" xfId="1382"/>
    <cellStyle name="强调文字颜色 3 3 3 2" xfId="1383"/>
    <cellStyle name="强调文字颜色 3 4" xfId="1384"/>
    <cellStyle name="强调文字颜色 3 4 2" xfId="1385"/>
    <cellStyle name="强调文字颜色 3 4 2 2" xfId="1386"/>
    <cellStyle name="强调文字颜色 3 4 2 2 2" xfId="1387"/>
    <cellStyle name="强调文字颜色 3 4 3" xfId="1388"/>
    <cellStyle name="强调文字颜色 3 4 3 2" xfId="1389"/>
    <cellStyle name="强调文字颜色 3 5" xfId="1390"/>
    <cellStyle name="强调文字颜色 3 6" xfId="1391"/>
    <cellStyle name="强调文字颜色 3 6 2" xfId="1392"/>
    <cellStyle name="强调文字颜色 3 6 2 2" xfId="1393"/>
    <cellStyle name="强调文字颜色 4 2" xfId="1394"/>
    <cellStyle name="强调文字颜色 4 2 2" xfId="1395"/>
    <cellStyle name="强调文字颜色 4 2 2 2" xfId="1396"/>
    <cellStyle name="强调文字颜色 4 2 2 2 2" xfId="1397"/>
    <cellStyle name="强调文字颜色 4 2 3" xfId="1398"/>
    <cellStyle name="强调文字颜色 4 2 3 2" xfId="1399"/>
    <cellStyle name="强调文字颜色 4 2 3 2 2" xfId="1400"/>
    <cellStyle name="强调文字颜色 4 2 4" xfId="1401"/>
    <cellStyle name="强调文字颜色 4 2 4 2" xfId="1402"/>
    <cellStyle name="强调文字颜色 4 2 4 3" xfId="1403"/>
    <cellStyle name="强调文字颜色 4 2 5" xfId="1404"/>
    <cellStyle name="强调文字颜色 4 3" xfId="1405"/>
    <cellStyle name="强调文字颜色 4 3 2" xfId="1406"/>
    <cellStyle name="强调文字颜色 4 3 2 2" xfId="1407"/>
    <cellStyle name="强调文字颜色 4 3 2 2 2" xfId="1408"/>
    <cellStyle name="强调文字颜色 4 3 3" xfId="1409"/>
    <cellStyle name="强调文字颜色 4 3 3 2" xfId="1410"/>
    <cellStyle name="强调文字颜色 4 4" xfId="1411"/>
    <cellStyle name="强调文字颜色 4 4 2" xfId="1412"/>
    <cellStyle name="强调文字颜色 4 4 2 2" xfId="1413"/>
    <cellStyle name="强调文字颜色 4 4 2 2 2" xfId="1414"/>
    <cellStyle name="强调文字颜色 4 4 3" xfId="1415"/>
    <cellStyle name="强调文字颜色 4 4 3 2" xfId="1416"/>
    <cellStyle name="强调文字颜色 4 5" xfId="1417"/>
    <cellStyle name="强调文字颜色 4 6" xfId="1418"/>
    <cellStyle name="强调文字颜色 4 6 2" xfId="1419"/>
    <cellStyle name="强调文字颜色 4 6 2 2" xfId="1420"/>
    <cellStyle name="强调文字颜色 5 2" xfId="1421"/>
    <cellStyle name="强调文字颜色 5 2 2" xfId="1422"/>
    <cellStyle name="强调文字颜色 5 2 2 2" xfId="1423"/>
    <cellStyle name="强调文字颜色 5 2 2 2 2" xfId="1424"/>
    <cellStyle name="强调文字颜色 5 2 3" xfId="1425"/>
    <cellStyle name="强调文字颜色 5 2 3 2" xfId="1426"/>
    <cellStyle name="强调文字颜色 5 2 3 2 2" xfId="1427"/>
    <cellStyle name="强调文字颜色 5 2 4" xfId="1428"/>
    <cellStyle name="强调文字颜色 5 2 4 2" xfId="1429"/>
    <cellStyle name="强调文字颜色 5 2 4 3" xfId="1430"/>
    <cellStyle name="强调文字颜色 5 2 5" xfId="1431"/>
    <cellStyle name="强调文字颜色 5 3" xfId="1432"/>
    <cellStyle name="强调文字颜色 5 3 2" xfId="1433"/>
    <cellStyle name="强调文字颜色 5 3 2 2" xfId="1434"/>
    <cellStyle name="强调文字颜色 5 3 2 2 2" xfId="1435"/>
    <cellStyle name="强调文字颜色 5 3 3" xfId="1436"/>
    <cellStyle name="强调文字颜色 5 3 3 2" xfId="1437"/>
    <cellStyle name="强调文字颜色 5 4" xfId="1438"/>
    <cellStyle name="强调文字颜色 5 4 2" xfId="1439"/>
    <cellStyle name="强调文字颜色 5 4 2 2" xfId="1440"/>
    <cellStyle name="强调文字颜色 5 4 2 2 2" xfId="1441"/>
    <cellStyle name="强调文字颜色 5 4 3" xfId="1442"/>
    <cellStyle name="强调文字颜色 5 4 3 2" xfId="1443"/>
    <cellStyle name="强调文字颜色 5 5" xfId="1444"/>
    <cellStyle name="强调文字颜色 5 6" xfId="1445"/>
    <cellStyle name="强调文字颜色 5 6 2" xfId="1446"/>
    <cellStyle name="强调文字颜色 5 6 2 2" xfId="1447"/>
    <cellStyle name="强调文字颜色 6 2" xfId="1448"/>
    <cellStyle name="强调文字颜色 6 2 2" xfId="1449"/>
    <cellStyle name="强调文字颜色 6 2 2 2" xfId="1450"/>
    <cellStyle name="强调文字颜色 6 2 2 2 2" xfId="1451"/>
    <cellStyle name="强调文字颜色 6 2 3" xfId="1452"/>
    <cellStyle name="强调文字颜色 6 2 3 2" xfId="1453"/>
    <cellStyle name="强调文字颜色 6 2 3 2 2" xfId="1454"/>
    <cellStyle name="强调文字颜色 6 2 4" xfId="1455"/>
    <cellStyle name="强调文字颜色 6 2 4 2" xfId="1456"/>
    <cellStyle name="强调文字颜色 6 2 4 3" xfId="1457"/>
    <cellStyle name="强调文字颜色 6 2 5" xfId="1458"/>
    <cellStyle name="强调文字颜色 6 3" xfId="1459"/>
    <cellStyle name="强调文字颜色 6 3 2" xfId="1460"/>
    <cellStyle name="强调文字颜色 6 3 2 2" xfId="1461"/>
    <cellStyle name="强调文字颜色 6 3 2 2 2" xfId="1462"/>
    <cellStyle name="强调文字颜色 6 3 3" xfId="1463"/>
    <cellStyle name="强调文字颜色 6 3 3 2" xfId="1464"/>
    <cellStyle name="强调文字颜色 6 4" xfId="1465"/>
    <cellStyle name="强调文字颜色 6 4 2" xfId="1466"/>
    <cellStyle name="强调文字颜色 6 4 2 2" xfId="1467"/>
    <cellStyle name="强调文字颜色 6 4 2 2 2" xfId="1468"/>
    <cellStyle name="强调文字颜色 6 4 3" xfId="1469"/>
    <cellStyle name="强调文字颜色 6 4 3 2" xfId="1470"/>
    <cellStyle name="强调文字颜色 6 5" xfId="1471"/>
    <cellStyle name="强调文字颜色 6 6" xfId="1472"/>
    <cellStyle name="强调文字颜色 6 6 2" xfId="1473"/>
    <cellStyle name="强调文字颜色 6 6 2 2" xfId="1474"/>
    <cellStyle name="适中 2" xfId="1475"/>
    <cellStyle name="适中 2 2" xfId="1476"/>
    <cellStyle name="适中 2 2 2" xfId="1477"/>
    <cellStyle name="适中 2 2 2 2" xfId="1478"/>
    <cellStyle name="适中 2 3" xfId="1479"/>
    <cellStyle name="适中 2 3 2" xfId="1480"/>
    <cellStyle name="适中 2 3 2 2" xfId="1481"/>
    <cellStyle name="适中 2 4" xfId="1482"/>
    <cellStyle name="适中 2 4 2" xfId="1483"/>
    <cellStyle name="适中 2 4 3" xfId="1484"/>
    <cellStyle name="适中 2 5" xfId="1485"/>
    <cellStyle name="适中 3" xfId="1486"/>
    <cellStyle name="适中 3 2" xfId="1487"/>
    <cellStyle name="适中 3 2 2" xfId="1488"/>
    <cellStyle name="适中 3 2 2 2" xfId="1489"/>
    <cellStyle name="适中 3 3" xfId="1490"/>
    <cellStyle name="适中 3 3 2" xfId="1491"/>
    <cellStyle name="适中 4" xfId="1492"/>
    <cellStyle name="适中 4 2" xfId="1493"/>
    <cellStyle name="适中 4 2 2" xfId="1494"/>
    <cellStyle name="适中 4 2 2 2" xfId="1495"/>
    <cellStyle name="适中 4 3" xfId="1496"/>
    <cellStyle name="适中 4 3 2" xfId="1497"/>
    <cellStyle name="适中 5" xfId="1498"/>
    <cellStyle name="适中 6" xfId="1499"/>
    <cellStyle name="适中 6 2" xfId="1500"/>
    <cellStyle name="适中 6 2 2" xfId="1501"/>
    <cellStyle name="输出 2" xfId="1502"/>
    <cellStyle name="输出 2 2" xfId="1503"/>
    <cellStyle name="输出 2 2 2" xfId="1504"/>
    <cellStyle name="输出 2 2 2 2" xfId="1505"/>
    <cellStyle name="输出 2 2 2 3" xfId="1506"/>
    <cellStyle name="输出 2 2 2 4" xfId="1507"/>
    <cellStyle name="输出 2 2 3" xfId="1508"/>
    <cellStyle name="输出 2 2 3 2" xfId="1509"/>
    <cellStyle name="输出 2 2 3 3" xfId="1510"/>
    <cellStyle name="输出 2 2 4" xfId="1511"/>
    <cellStyle name="输出 2 3" xfId="1512"/>
    <cellStyle name="输出 2 3 2" xfId="1513"/>
    <cellStyle name="输出 2 3 2 2" xfId="1514"/>
    <cellStyle name="输出 2 3 2 3" xfId="1515"/>
    <cellStyle name="输出 2 3 2 4" xfId="1516"/>
    <cellStyle name="输出 2 3 3" xfId="1517"/>
    <cellStyle name="输出 2 3 3 2" xfId="1518"/>
    <cellStyle name="输出 2 3 3 3" xfId="1519"/>
    <cellStyle name="输出 2 3 4" xfId="1520"/>
    <cellStyle name="输出 2 4" xfId="1521"/>
    <cellStyle name="输出 2 4 2" xfId="1522"/>
    <cellStyle name="输出 2 4 3" xfId="1523"/>
    <cellStyle name="输出 2 4 4" xfId="1524"/>
    <cellStyle name="输出 2 4 5" xfId="1525"/>
    <cellStyle name="输出 2 5" xfId="1526"/>
    <cellStyle name="输出 2 5 2" xfId="1527"/>
    <cellStyle name="输出 2 5 3" xfId="1528"/>
    <cellStyle name="输出 2 6" xfId="1529"/>
    <cellStyle name="输出 2 7" xfId="1530"/>
    <cellStyle name="输出 3" xfId="1531"/>
    <cellStyle name="输出 3 2" xfId="1532"/>
    <cellStyle name="输出 3 2 2" xfId="1533"/>
    <cellStyle name="输出 3 2 2 2" xfId="1534"/>
    <cellStyle name="输出 3 2 2 3" xfId="1535"/>
    <cellStyle name="输出 3 2 2 4" xfId="1536"/>
    <cellStyle name="输出 3 2 3" xfId="1537"/>
    <cellStyle name="输出 3 2 3 2" xfId="1538"/>
    <cellStyle name="输出 3 2 3 3" xfId="1539"/>
    <cellStyle name="输出 3 2 4" xfId="1540"/>
    <cellStyle name="输出 3 3" xfId="1541"/>
    <cellStyle name="输出 3 3 2" xfId="1542"/>
    <cellStyle name="输出 3 3 3" xfId="1543"/>
    <cellStyle name="输出 3 3 4" xfId="1544"/>
    <cellStyle name="输出 3 4" xfId="1545"/>
    <cellStyle name="输出 3 4 2" xfId="1546"/>
    <cellStyle name="输出 3 4 3" xfId="1547"/>
    <cellStyle name="输出 3 5" xfId="1548"/>
    <cellStyle name="输出 4" xfId="1549"/>
    <cellStyle name="输出 4 2" xfId="1550"/>
    <cellStyle name="输出 4 2 2" xfId="1551"/>
    <cellStyle name="输出 4 2 2 2" xfId="1552"/>
    <cellStyle name="输出 4 2 2 3" xfId="1553"/>
    <cellStyle name="输出 4 2 2 4" xfId="1554"/>
    <cellStyle name="输出 4 2 3" xfId="1555"/>
    <cellStyle name="输出 4 2 3 2" xfId="1556"/>
    <cellStyle name="输出 4 2 3 3" xfId="1557"/>
    <cellStyle name="输出 4 2 4" xfId="1558"/>
    <cellStyle name="输出 4 3" xfId="1559"/>
    <cellStyle name="输出 4 3 2" xfId="1560"/>
    <cellStyle name="输出 4 3 3" xfId="1561"/>
    <cellStyle name="输出 4 3 4" xfId="1562"/>
    <cellStyle name="输出 4 4" xfId="1563"/>
    <cellStyle name="输出 4 4 2" xfId="1564"/>
    <cellStyle name="输出 4 4 3" xfId="1565"/>
    <cellStyle name="输出 4 5" xfId="1566"/>
    <cellStyle name="输出 5" xfId="1567"/>
    <cellStyle name="输出 5 2" xfId="1568"/>
    <cellStyle name="输出 5 2 2" xfId="1569"/>
    <cellStyle name="输出 5 2 3" xfId="1570"/>
    <cellStyle name="输出 5 3" xfId="1571"/>
    <cellStyle name="输出 6" xfId="1572"/>
    <cellStyle name="输出 6 2" xfId="1573"/>
    <cellStyle name="输出 6 2 2" xfId="1574"/>
    <cellStyle name="输出 6 2 3" xfId="1575"/>
    <cellStyle name="输出 6 2 4" xfId="1576"/>
    <cellStyle name="输出 6 3" xfId="1577"/>
    <cellStyle name="输出 6 3 2" xfId="1578"/>
    <cellStyle name="输出 6 3 3" xfId="1579"/>
    <cellStyle name="输出 6 4" xfId="1580"/>
    <cellStyle name="输入 2" xfId="1581"/>
    <cellStyle name="输入 2 2" xfId="1582"/>
    <cellStyle name="输入 2 2 2" xfId="1583"/>
    <cellStyle name="输入 2 2 2 2" xfId="1584"/>
    <cellStyle name="输入 2 2 2 3" xfId="1585"/>
    <cellStyle name="输入 2 2 2 4" xfId="1586"/>
    <cellStyle name="输入 2 2 3" xfId="1587"/>
    <cellStyle name="输入 2 2 3 2" xfId="1588"/>
    <cellStyle name="输入 2 2 3 3" xfId="1589"/>
    <cellStyle name="输入 2 2 4" xfId="1590"/>
    <cellStyle name="输入 2 3" xfId="1591"/>
    <cellStyle name="输入 2 3 2" xfId="1592"/>
    <cellStyle name="输入 2 3 2 2" xfId="1593"/>
    <cellStyle name="输入 2 3 2 3" xfId="1594"/>
    <cellStyle name="输入 2 3 2 4" xfId="1595"/>
    <cellStyle name="输入 2 3 3" xfId="1596"/>
    <cellStyle name="输入 2 3 3 2" xfId="1597"/>
    <cellStyle name="输入 2 3 3 3" xfId="1598"/>
    <cellStyle name="输入 2 3 4" xfId="1599"/>
    <cellStyle name="输入 2 4" xfId="1600"/>
    <cellStyle name="输入 2 4 2" xfId="1601"/>
    <cellStyle name="输入 2 4 3" xfId="1602"/>
    <cellStyle name="输入 2 4 4" xfId="1603"/>
    <cellStyle name="输入 2 4 5" xfId="1604"/>
    <cellStyle name="输入 2 5" xfId="1605"/>
    <cellStyle name="输入 2 5 2" xfId="1606"/>
    <cellStyle name="输入 2 5 3" xfId="1607"/>
    <cellStyle name="输入 2 6" xfId="1608"/>
    <cellStyle name="输入 2 7" xfId="1609"/>
    <cellStyle name="输入 3" xfId="1610"/>
    <cellStyle name="输入 3 2" xfId="1611"/>
    <cellStyle name="输入 3 2 2" xfId="1612"/>
    <cellStyle name="输入 3 2 2 2" xfId="1613"/>
    <cellStyle name="输入 3 2 2 3" xfId="1614"/>
    <cellStyle name="输入 3 2 2 4" xfId="1615"/>
    <cellStyle name="输入 3 2 3" xfId="1616"/>
    <cellStyle name="输入 3 2 3 2" xfId="1617"/>
    <cellStyle name="输入 3 2 3 3" xfId="1618"/>
    <cellStyle name="输入 3 2 4" xfId="1619"/>
    <cellStyle name="输入 3 3" xfId="1620"/>
    <cellStyle name="输入 3 3 2" xfId="1621"/>
    <cellStyle name="输入 3 3 3" xfId="1622"/>
    <cellStyle name="输入 3 3 4" xfId="1623"/>
    <cellStyle name="输入 3 4" xfId="1624"/>
    <cellStyle name="输入 3 4 2" xfId="1625"/>
    <cellStyle name="输入 3 4 3" xfId="1626"/>
    <cellStyle name="输入 3 5" xfId="1627"/>
    <cellStyle name="输入 4" xfId="1628"/>
    <cellStyle name="输入 4 2" xfId="1629"/>
    <cellStyle name="输入 4 2 2" xfId="1630"/>
    <cellStyle name="输入 4 2 2 2" xfId="1631"/>
    <cellStyle name="输入 4 2 2 3" xfId="1632"/>
    <cellStyle name="输入 4 2 2 4" xfId="1633"/>
    <cellStyle name="输入 4 2 3" xfId="1634"/>
    <cellStyle name="输入 4 2 3 2" xfId="1635"/>
    <cellStyle name="输入 4 2 3 3" xfId="1636"/>
    <cellStyle name="输入 4 2 4" xfId="1637"/>
    <cellStyle name="输入 4 3" xfId="1638"/>
    <cellStyle name="输入 4 3 2" xfId="1639"/>
    <cellStyle name="输入 4 3 3" xfId="1640"/>
    <cellStyle name="输入 4 3 4" xfId="1641"/>
    <cellStyle name="输入 4 4" xfId="1642"/>
    <cellStyle name="输入 4 4 2" xfId="1643"/>
    <cellStyle name="输入 4 4 3" xfId="1644"/>
    <cellStyle name="输入 4 5" xfId="1645"/>
    <cellStyle name="输入 5" xfId="1646"/>
    <cellStyle name="输入 5 2" xfId="1647"/>
    <cellStyle name="输入 5 2 2" xfId="1648"/>
    <cellStyle name="输入 5 2 3" xfId="1649"/>
    <cellStyle name="输入 5 3" xfId="1650"/>
    <cellStyle name="输入 6" xfId="1651"/>
    <cellStyle name="输入 6 2" xfId="1652"/>
    <cellStyle name="输入 6 2 2" xfId="1653"/>
    <cellStyle name="输入 6 2 3" xfId="1654"/>
    <cellStyle name="输入 6 2 4" xfId="1655"/>
    <cellStyle name="输入 6 3" xfId="1656"/>
    <cellStyle name="输入 6 3 2" xfId="1657"/>
    <cellStyle name="输入 6 3 3" xfId="1658"/>
    <cellStyle name="输入 6 4" xfId="1659"/>
    <cellStyle name="样式 1" xfId="1660"/>
    <cellStyle name="样式 1 2" xfId="1661"/>
    <cellStyle name="一般_980430-宴會廳 會議室 AV" xfId="1662"/>
    <cellStyle name="注释 2" xfId="1663"/>
    <cellStyle name="注释 2 2" xfId="1664"/>
    <cellStyle name="注释 2 2 2" xfId="1665"/>
    <cellStyle name="注释 2 2 2 2" xfId="1666"/>
    <cellStyle name="注释 2 2 2 3" xfId="1667"/>
    <cellStyle name="注释 2 2 3" xfId="1668"/>
    <cellStyle name="注释 2 3" xfId="1669"/>
    <cellStyle name="注释 2 3 2" xfId="1670"/>
    <cellStyle name="注释 2 3 3" xfId="1671"/>
    <cellStyle name="注释 2 3 4" xfId="1672"/>
    <cellStyle name="注释 2 3 5" xfId="1673"/>
    <cellStyle name="注释 2 4" xfId="1674"/>
    <cellStyle name="注释 2 4 2" xfId="1675"/>
    <cellStyle name="注释 2 4 3" xfId="1676"/>
    <cellStyle name="注释 2 5" xfId="1677"/>
    <cellStyle name="注释 2 6" xfId="1678"/>
    <cellStyle name="注释 3" xfId="1679"/>
    <cellStyle name="注释 3 2" xfId="1680"/>
    <cellStyle name="注释 3 2 2" xfId="1681"/>
    <cellStyle name="注释 3 2 3" xfId="1682"/>
    <cellStyle name="注释 3 3" xfId="168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125057</xdr:colOff>
      <xdr:row>1</xdr:row>
      <xdr:rowOff>0</xdr:rowOff>
    </xdr:from>
    <xdr:to>
      <xdr:col>0</xdr:col>
      <xdr:colOff>537882</xdr:colOff>
      <xdr:row>3</xdr:row>
      <xdr:rowOff>94213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19" t="15579" r="33740" b="35738"/>
        <a:stretch>
          <a:fillRect/>
        </a:stretch>
      </xdr:blipFill>
      <xdr:spPr>
        <a:xfrm>
          <a:off x="124460" y="617220"/>
          <a:ext cx="413385" cy="535940"/>
        </a:xfrm>
        <a:prstGeom prst="rect">
          <a:avLst/>
        </a:prstGeom>
      </xdr:spPr>
    </xdr:pic>
    <xdr:clientData/>
  </xdr:twoCellAnchor>
  <xdr:twoCellAnchor editAs="oneCell">
    <xdr:from>
      <xdr:col>0</xdr:col>
      <xdr:colOff>579522</xdr:colOff>
      <xdr:row>1</xdr:row>
      <xdr:rowOff>91328</xdr:rowOff>
    </xdr:from>
    <xdr:to>
      <xdr:col>1</xdr:col>
      <xdr:colOff>1194152</xdr:colOff>
      <xdr:row>3</xdr:row>
      <xdr:rowOff>22411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36" t="64262" r="17332" b="13091"/>
        <a:stretch>
          <a:fillRect/>
        </a:stretch>
      </xdr:blipFill>
      <xdr:spPr>
        <a:xfrm>
          <a:off x="579120" y="708025"/>
          <a:ext cx="1231900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I69"/>
  <ns0:sheetViews>
    <ns0:sheetView tabSelected="1" zoomScale="85" zoomScaleNormal="85" zoomScaleSheetLayoutView="55" topLeftCell="A57" workbookViewId="0">
      <ns0:selection activeCell="A7" sqref="A7:E7"/>
    </ns0:sheetView>
  </ns0:sheetViews>
  <ns0:sheetFormatPr defaultColWidth="9" defaultRowHeight="13.8"/>
  <ns0:cols>
    <ns0:col min="2" max="2" width="26.75" customWidth="1"/>
    <ns0:col min="3" max="3" width="41.25" customWidth="1"/>
    <ns0:col min="4" max="4" width="65.75" customWidth="1"/>
    <ns0:col min="6" max="6" width="7.75" style="2" customWidth="1"/>
    <ns0:col min="7" max="7" width="8.62962962962963" style="2" customWidth="1"/>
    <ns0:col min="8" max="8" width="18.5" customWidth="1"/>
    <ns0:col min="9" max="9" width="40.25" customWidth="1"/>
  </ns0:cols>
  <ns0:sheetData>
    <ns0:row r="1" ht="48.6" customHeight="1" spans="1:9">
      <ns0:c r="A1" s="3" t="s">
        <ns0:v>0</ns0:v>
      </ns0:c>
    </ns0:row>
    <ns0:row r="2" ht="17.4" customHeight="1" spans="1:9">
      <ns0:c r="A2" s="4"/>
      <ns0:c r="F2" s="4"/>
      <ns0:c r="G2" s="4"/>
      <ns0:c r="H2" s="5" t="s">
        <ns0:v>1</ns0:v>
      </ns0:c>
      <ns0:c r="I2" s="6" t="s">
        <ns0:v>2</ns0:v>
      </ns0:c>
    </ns0:row>
    <ns0:row r="3" ht="17.4" customHeight="1" spans="1:9">
      <ns0:c r="F3" s="4"/>
      <ns0:c r="G3" s="4"/>
      <ns0:c r="H3" s="5" t="s">
        <ns0:v>3</ns0:v>
      </ns0:c>
      <ns0:c r="I3" s="6" t="s">
        <ns0:v>4</ns0:v>
      </ns0:c>
    </ns0:row>
    <ns0:row r="4" ht="17.4" customHeight="1" spans="1:9">
      <ns0:c r="F4" s="4"/>
      <ns0:c r="G4" s="4"/>
      <ns0:c r="H4" s="5" t="s">
        <ns0:v>5</ns0:v>
      </ns0:c>
      <ns0:c r="I4" s="6" t="s">
        <ns0:v>6</ns0:v>
      </ns0:c>
    </ns0:row>
    <ns0:row r="5" s="1" customFormat="1" ht="17.4" customHeight="1" spans="1:9">
      <ns0:c r="A5" s="6" t="s">
        <ns0:v>7</ns0:v>
      </ns0:c>
      <ns0:c r="F5" s="7"/>
      <ns0:c r="G5" s="7"/>
      <ns0:c r="H5" s="5" t="s">
        <ns0:v>8</ns0:v>
      </ns0:c>
      <ns0:c r="I5" s="6" t="s">
        <ns0:v>9</ns0:v>
      </ns0:c>
    </ns0:row>
    <ns0:row r="6" s="1" customFormat="1" ht="17.4" customHeight="1" spans="1:9">
      <ns0:c r="A6" s="6" t="s">
        <ns0:v>10</ns0:v>
      </ns0:c>
      <ns0:c r="F6" s="7"/>
      <ns0:c r="G6" s="7"/>
      <ns0:c r="H6" s="5" t="s">
        <ns0:v>11</ns0:v>
      </ns0:c>
      <ns0:c r="I6" s="8">
        <ns0:v>46317</ns0:v>
      </ns0:c>
    </ns0:row>
    <ns0:row r="7" s="1" customFormat="1" ht="17.4" customHeight="1" spans="1:9">
      <ns0:c r="A7" s="6" t="s">
        <ns0:v>12</ns0:v>
      </ns0:c>
      <ns0:c r="F7" s="7"/>
      <ns0:c r="G7" s="7"/>
      <ns0:c r="H7" s="9"/>
      <ns0:c r="I7" s="9"/>
    </ns0:row>
    <ns0:row r="10" ht="6" customHeight="1"/>
    <ns0:row r="11" ht="35" customHeight="1" spans="1:9">
      <ns0:c r="A11" s="10" t="s">
        <ns0:v>13</ns0:v>
      </ns0:c>
      <ns0:c r="B11" s="11"/>
      <ns0:c r="C11" s="11"/>
      <ns0:c r="D11" s="11"/>
      <ns0:c r="E11" s="11"/>
      <ns0:c r="F11" s="11"/>
      <ns0:c r="G11" s="11"/>
      <ns0:c r="H11" s="11"/>
      <ns0:c r="I11" s="12"/>
    </ns0:row>
    <ns0:row r="12" ht="30" customHeight="1" spans="1:9">
      <ns0:c r="A12" s="13" t="s">
        <ns0:v>14</ns0:v>
      </ns0:c>
      <ns0:c r="B12" s="14" t="s">
        <ns0:v>15</ns0:v>
      </ns0:c>
      <ns0:c r="C12" s="15" t="s">
        <ns0:v>16</ns0:v>
      </ns0:c>
      <ns0:c r="D12" s="16" t="s">
        <ns0:v>17</ns0:v>
      </ns0:c>
      <ns0:c r="E12" s="14" t="s">
        <ns0:v>18</ns0:v>
      </ns0:c>
      <ns0:c r="F12" s="14" t="s">
        <ns0:v>19</ns0:v>
      </ns0:c>
      <ns0:c r="G12" s="17" t="s">
        <ns0:v>20</ns0:v>
      </ns0:c>
      <ns0:c r="H12" s="14" t="s">
        <ns0:v>21</ns0:v>
      </ns0:c>
      <ns0:c r="I12" s="18" t="s">
        <ns0:v>22</ns0:v>
      </ns0:c>
    </ns0:row>
    <ns0:row r="13" ht="43" customHeight="1" spans="1:9">
      <ns0:c r="A13" s="19">
        <ns0:v>1</ns0:v>
      </ns0:c>
      <ns0:c r="B13" s="20" t="s">
        <ns0:v>23</ns0:v>
      </ns0:c>
      <ns0:c r="C13" s="21" t="s">
        <ns0:v>24</ns0:v>
      </ns0:c>
      <ns0:c r="D13" s="21" t="s">
        <ns0:v>25</ns0:v>
      </ns0:c>
      <ns0:c r="E13" s="20">
        <ns0:v>2800</ns0:v>
      </ns0:c>
      <ns0:c r="F13" s="20" t="s">
        <ns0:v>26</ns0:v>
      </ns0:c>
      <ns0:c r="G13" s="20">
        <ns0:v>20</ns0:v>
      </ns0:c>
      <ns0:c r="H13" s="22">
        <ns0:f xml:space="preserve">G13*E13</ns0:f>
        <ns0:v>56000</ns0:v>
      </ns0:c>
      <ns0:c r="I13" s="23" t="s">
        <ns0:v>27</ns0:v>
      </ns0:c>
    </ns0:row>
    <ns0:row r="14" ht="51" customHeight="1" spans="1:9">
      <ns0:c r="A14" s="24"/>
      <ns0:c r="B14" s="25"/>
      <ns0:c r="C14" s="21" t="s">
        <ns0:v>28</ns0:v>
      </ns0:c>
      <ns0:c r="D14" s="21" t="s">
        <ns0:v>29</ns0:v>
      </ns0:c>
      <ns0:c r="E14" s="25"/>
      <ns0:c r="F14" s="25"/>
      <ns0:c r="G14" s="25"/>
      <ns0:c r="H14" s="25"/>
      <ns0:c r="I14" s="26"/>
    </ns0:row>
    <ns0:row r="15" ht="47" customHeight="1" spans="1:9">
      <ns0:c r="A15" s="24"/>
      <ns0:c r="B15" s="25"/>
      <ns0:c r="C15" s="21" t="s">
        <ns0:v>30</ns0:v>
      </ns0:c>
      <ns0:c r="D15" s="21" t="s">
        <ns0:v>31</ns0:v>
      </ns0:c>
      <ns0:c r="E15" s="25"/>
      <ns0:c r="F15" s="25"/>
      <ns0:c r="G15" s="25"/>
      <ns0:c r="H15" s="25"/>
      <ns0:c r="I15" s="26"/>
    </ns0:row>
    <ns0:row r="16" ht="38" customHeight="1" spans="1:9">
      <ns0:c r="A16" s="24"/>
      <ns0:c r="B16" s="25"/>
      <ns0:c r="C16" s="21" t="s">
        <ns0:v>32</ns0:v>
      </ns0:c>
      <ns0:c r="D16" s="21" t="s">
        <ns0:v>33</ns0:v>
      </ns0:c>
      <ns0:c r="E16" s="25"/>
      <ns0:c r="F16" s="25"/>
      <ns0:c r="G16" s="25"/>
      <ns0:c r="H16" s="25"/>
      <ns0:c r="I16" s="26"/>
    </ns0:row>
    <ns0:row r="17" ht="44" customHeight="1" spans="1:9">
      <ns0:c r="A17" s="24"/>
      <ns0:c r="B17" s="25"/>
      <ns0:c r="C17" s="21" t="s">
        <ns0:v>34</ns0:v>
      </ns0:c>
      <ns0:c r="D17" s="21" t="s">
        <ns0:v>35</ns0:v>
      </ns0:c>
      <ns0:c r="E17" s="25"/>
      <ns0:c r="F17" s="25"/>
      <ns0:c r="G17" s="25"/>
      <ns0:c r="H17" s="25"/>
      <ns0:c r="I17" s="27"/>
    </ns0:row>
    <ns0:row r="18" ht="47" customHeight="1" spans="1:9">
      <ns0:c r="A18" s="20">
        <ns0:v>2</ns0:v>
      </ns0:c>
      <ns0:c r="B18" s="20" t="s">
        <ns0:v>36</ns0:v>
      </ns0:c>
      <ns0:c r="C18" s="21" t="s">
        <ns0:v>37</ns0:v>
      </ns0:c>
      <ns0:c r="D18" s="21" t="s">
        <ns0:v>38</ns0:v>
      </ns0:c>
      <ns0:c r="E18" s="25"/>
      <ns0:c r="F18" s="25"/>
      <ns0:c r="G18" s="20">
        <ns0:v>17</ns0:v>
      </ns0:c>
      <ns0:c r="H18" s="22">
        <ns0:f xml:space="preserve">E13*G18</ns0:f>
        <ns0:v>47600</ns0:v>
      </ns0:c>
      <ns0:c r="I18" s="23" t="s">
        <ns0:v>39</ns0:v>
      </ns0:c>
    </ns0:row>
    <ns0:row r="19" ht="43" customHeight="1" spans="1:9">
      <ns0:c r="A19" s="25"/>
      <ns0:c r="B19" s="25"/>
      <ns0:c r="C19" s="21" t="s">
        <ns0:v>40</ns0:v>
      </ns0:c>
      <ns0:c r="D19" s="21" t="s">
        <ns0:v>41</ns0:v>
      </ns0:c>
      <ns0:c r="E19" s="25"/>
      <ns0:c r="F19" s="25"/>
      <ns0:c r="G19" s="25"/>
      <ns0:c r="H19" s="25"/>
      <ns0:c r="I19" s="26"/>
    </ns0:row>
    <ns0:row r="20" ht="46" customHeight="1" spans="1:9">
      <ns0:c r="A20" s="25"/>
      <ns0:c r="B20" s="25"/>
      <ns0:c r="C20" s="21" t="s">
        <ns0:v>42</ns0:v>
      </ns0:c>
      <ns0:c r="D20" s="21" t="s">
        <ns0:v>43</ns0:v>
      </ns0:c>
      <ns0:c r="E20" s="25"/>
      <ns0:c r="F20" s="25"/>
      <ns0:c r="G20" s="25"/>
      <ns0:c r="H20" s="25"/>
      <ns0:c r="I20" s="26"/>
    </ns0:row>
    <ns0:row r="21" ht="45" customHeight="1" spans="1:9">
      <ns0:c r="A21" s="25"/>
      <ns0:c r="B21" s="25"/>
      <ns0:c r="C21" s="21" t="s">
        <ns0:v>44</ns0:v>
      </ns0:c>
      <ns0:c r="D21" s="21" t="s">
        <ns0:v>45</ns0:v>
      </ns0:c>
      <ns0:c r="E21" s="25"/>
      <ns0:c r="F21" s="25"/>
      <ns0:c r="G21" s="25"/>
      <ns0:c r="H21" s="25"/>
      <ns0:c r="I21" s="27"/>
    </ns0:row>
    <ns0:row r="22" ht="44" customHeight="1" spans="1:9">
      <ns0:c r="A22" s="28">
        <ns0:v>3</ns0:v>
      </ns0:c>
      <ns0:c r="B22" s="28" t="s">
        <ns0:v>46</ns0:v>
      </ns0:c>
      <ns0:c r="C22" s="21" t="s">
        <ns0:v>47</ns0:v>
      </ns0:c>
      <ns0:c r="D22" s="21" t="s">
        <ns0:v>48</ns0:v>
      </ns0:c>
      <ns0:c r="E22" s="25"/>
      <ns0:c r="F22" s="25"/>
      <ns0:c r="G22" s="20">
        <ns0:v>12</ns0:v>
      </ns0:c>
      <ns0:c r="H22" s="22">
        <ns0:f xml:space="preserve">E13*G22</ns0:f>
        <ns0:v>33600</ns0:v>
      </ns0:c>
      <ns0:c r="I22" s="23" t="s">
        <ns0:v>49</ns0:v>
      </ns0:c>
    </ns0:row>
    <ns0:row r="23" ht="53" customHeight="1" spans="1:9">
      <ns0:c r="A23" s="25"/>
      <ns0:c r="B23" s="25"/>
      <ns0:c r="C23" s="21" t="s">
        <ns0:v>50</ns0:v>
      </ns0:c>
      <ns0:c r="D23" s="21" t="s">
        <ns0:v>51</ns0:v>
      </ns0:c>
      <ns0:c r="E23" s="25"/>
      <ns0:c r="F23" s="25"/>
      <ns0:c r="G23" s="25"/>
      <ns0:c r="H23" s="25"/>
      <ns0:c r="I23" s="26"/>
    </ns0:row>
    <ns0:row r="24" ht="65" customHeight="1" spans="1:9">
      <ns0:c r="A24" s="29"/>
      <ns0:c r="B24" s="29"/>
      <ns0:c r="C24" s="21" t="s">
        <ns0:v>52</ns0:v>
      </ns0:c>
      <ns0:c r="D24" s="21" t="s">
        <ns0:v>53</ns0:v>
      </ns0:c>
      <ns0:c r="E24" s="25"/>
      <ns0:c r="F24" s="25"/>
      <ns0:c r="G24" s="25"/>
      <ns0:c r="H24" s="25"/>
      <ns0:c r="I24" s="27"/>
    </ns0:row>
    <ns0:row r="25" ht="38" customHeight="1" spans="1:9">
      <ns0:c r="A25" s="30"/>
      <ns0:c r="B25" s="31"/>
      <ns0:c r="C25" s="31"/>
      <ns0:c r="D25" s="31"/>
      <ns0:c r="E25" s="32"/>
      <ns0:c r="F25" s="33"/>
      <ns0:c r="G25" s="34" t="s">
        <ns0:v>54</ns0:v>
      </ns0:c>
      <ns0:c r="H25" s="35">
        <ns0:f xml:space="preserve">SUM(H13:H24)</ns0:f>
        <ns0:v>137200</ns0:v>
      </ns0:c>
      <ns0:c r="I25" s="36"/>
    </ns0:row>
    <ns0:row r="26" ht="14" customHeight="1" spans="1:9">
      <ns0:c r="A26" s="37"/>
      <ns0:c r="B26" s="38"/>
      <ns0:c r="C26" s="38"/>
      <ns0:c r="D26" s="38"/>
      <ns0:c r="E26" s="38"/>
      <ns0:c r="F26" s="38"/>
      <ns0:c r="G26" s="38"/>
      <ns0:c r="H26" s="38"/>
      <ns0:c r="I26" s="39"/>
    </ns0:row>
    <ns0:row r="27" ht="18" customHeight="1" spans="1:9">
      <ns0:c r="A27" s="40"/>
      <ns0:c r="B27" s="40"/>
      <ns0:c r="C27" s="40"/>
      <ns0:c r="D27" s="40"/>
      <ns0:c r="E27" s="40"/>
      <ns0:c r="F27" s="40"/>
      <ns0:c r="G27" s="40"/>
      <ns0:c r="H27" s="40"/>
      <ns0:c r="I27" s="40"/>
    </ns0:row>
    <ns0:row r="28" ht="35" customHeight="1" spans="1:9">
      <ns0:c r="A28" s="10" t="s">
        <ns0:v>55</ns0:v>
      </ns0:c>
      <ns0:c r="B28" s="11"/>
      <ns0:c r="C28" s="11"/>
      <ns0:c r="D28" s="11"/>
      <ns0:c r="E28" s="11"/>
      <ns0:c r="F28" s="11"/>
      <ns0:c r="G28" s="11"/>
      <ns0:c r="H28" s="11"/>
      <ns0:c r="I28" s="12"/>
    </ns0:row>
    <ns0:row r="29" ht="30" customHeight="1" spans="1:9">
      <ns0:c r="A29" s="13" t="s">
        <ns0:v>14</ns0:v>
      </ns0:c>
      <ns0:c r="B29" s="14" t="s">
        <ns0:v>15</ns0:v>
      </ns0:c>
      <ns0:c r="C29" s="15" t="s">
        <ns0:v>16</ns0:v>
      </ns0:c>
      <ns0:c r="D29" s="16" t="s">
        <ns0:v>17</ns0:v>
      </ns0:c>
      <ns0:c r="E29" s="14" t="s">
        <ns0:v>18</ns0:v>
      </ns0:c>
      <ns0:c r="F29" s="14" t="s">
        <ns0:v>19</ns0:v>
      </ns0:c>
      <ns0:c r="G29" s="17" t="s">
        <ns0:v>20</ns0:v>
      </ns0:c>
      <ns0:c r="H29" s="14" t="s">
        <ns0:v>21</ns0:v>
      </ns0:c>
      <ns0:c r="I29" s="18" t="s">
        <ns0:v>22</ns0:v>
      </ns0:c>
    </ns0:row>
    <ns0:row r="30" ht="43" customHeight="1" spans="1:9">
      <ns0:c r="A30" s="19">
        <ns0:v>1</ns0:v>
      </ns0:c>
      <ns0:c r="B30" s="20" t="s">
        <ns0:v>56</ns0:v>
      </ns0:c>
      <ns0:c r="C30" s="21" t="s">
        <ns0:v>57</ns0:v>
      </ns0:c>
      <ns0:c r="D30" s="21" t="s">
        <ns0:v>58</ns0:v>
      </ns0:c>
      <ns0:c r="E30" s="20">
        <ns0:v>2800</ns0:v>
      </ns0:c>
      <ns0:c r="F30" s="20" t="s">
        <ns0:v>26</ns0:v>
      </ns0:c>
      <ns0:c r="G30" s="20">
        <ns0:v>22</ns0:v>
      </ns0:c>
      <ns0:c r="H30" s="22">
        <ns0:f xml:space="preserve">G30*E30</ns0:f>
        <ns0:v>61600</ns0:v>
      </ns0:c>
      <ns0:c r="I30" s="23" t="s">
        <ns0:v>59</ns0:v>
      </ns0:c>
    </ns0:row>
    <ns0:row r="31" ht="46" customHeight="1" spans="1:9">
      <ns0:c r="A31" s="24"/>
      <ns0:c r="B31" s="25"/>
      <ns0:c r="C31" s="21" t="s">
        <ns0:v>60</ns0:v>
      </ns0:c>
      <ns0:c r="D31" s="21" t="s">
        <ns0:v>61</ns0:v>
      </ns0:c>
      <ns0:c r="E31" s="25"/>
      <ns0:c r="F31" s="25"/>
      <ns0:c r="G31" s="25"/>
      <ns0:c r="H31" s="25"/>
      <ns0:c r="I31" s="26"/>
    </ns0:row>
    <ns0:row r="32" ht="45" customHeight="1" spans="1:9">
      <ns0:c r="A32" s="24"/>
      <ns0:c r="B32" s="25"/>
      <ns0:c r="C32" s="21" t="s">
        <ns0:v>62</ns0:v>
      </ns0:c>
      <ns0:c r="D32" s="21" t="s">
        <ns0:v>63</ns0:v>
      </ns0:c>
      <ns0:c r="E32" s="25"/>
      <ns0:c r="F32" s="25"/>
      <ns0:c r="G32" s="25"/>
      <ns0:c r="H32" s="25"/>
      <ns0:c r="I32" s="26"/>
    </ns0:row>
    <ns0:row r="33" ht="50" customHeight="1" spans="1:9">
      <ns0:c r="A33" s="24"/>
      <ns0:c r="B33" s="25"/>
      <ns0:c r="C33" s="21" t="s">
        <ns0:v>64</ns0:v>
      </ns0:c>
      <ns0:c r="D33" s="21" t="s">
        <ns0:v>65</ns0:v>
      </ns0:c>
      <ns0:c r="E33" s="25"/>
      <ns0:c r="F33" s="25"/>
      <ns0:c r="G33" s="25"/>
      <ns0:c r="H33" s="25"/>
      <ns0:c r="I33" s="27"/>
    </ns0:row>
    <ns0:row r="34" ht="52" customHeight="1" spans="1:9">
      <ns0:c r="A34" s="20">
        <ns0:v>2</ns0:v>
      </ns0:c>
      <ns0:c r="B34" s="20" t="s">
        <ns0:v>66</ns0:v>
      </ns0:c>
      <ns0:c r="C34" s="21" t="s">
        <ns0:v>67</ns0:v>
      </ns0:c>
      <ns0:c r="D34" s="21" t="s">
        <ns0:v>68</ns0:v>
      </ns0:c>
      <ns0:c r="E34" s="25"/>
      <ns0:c r="F34" s="25"/>
      <ns0:c r="G34" s="20">
        <ns0:v>18</ns0:v>
      </ns0:c>
      <ns0:c r="H34" s="22">
        <ns0:f xml:space="preserve">E30*G34</ns0:f>
        <ns0:v>50400</ns0:v>
      </ns0:c>
      <ns0:c r="I34" s="23" t="s">
        <ns0:v>69</ns0:v>
      </ns0:c>
    </ns0:row>
    <ns0:row r="35" ht="44" customHeight="1" spans="1:9">
      <ns0:c r="A35" s="25"/>
      <ns0:c r="B35" s="25"/>
      <ns0:c r="C35" s="21" t="s">
        <ns0:v>70</ns0:v>
      </ns0:c>
      <ns0:c r="D35" s="21" t="s">
        <ns0:v>71</ns0:v>
      </ns0:c>
      <ns0:c r="E35" s="25"/>
      <ns0:c r="F35" s="25"/>
      <ns0:c r="G35" s="25"/>
      <ns0:c r="H35" s="25"/>
      <ns0:c r="I35" s="26"/>
    </ns0:row>
    <ns0:row r="36" ht="44" customHeight="1" spans="1:9">
      <ns0:c r="A36" s="25"/>
      <ns0:c r="B36" s="25"/>
      <ns0:c r="C36" s="21" t="s">
        <ns0:v>72</ns0:v>
      </ns0:c>
      <ns0:c r="D36" s="21" t="s">
        <ns0:v>73</ns0:v>
      </ns0:c>
      <ns0:c r="E36" s="25"/>
      <ns0:c r="F36" s="25"/>
      <ns0:c r="G36" s="25"/>
      <ns0:c r="H36" s="25"/>
      <ns0:c r="I36" s="26"/>
    </ns0:row>
    <ns0:row r="37" ht="44" customHeight="1" spans="1:9">
      <ns0:c r="A37" s="25"/>
      <ns0:c r="B37" s="25"/>
      <ns0:c r="C37" s="21" t="s">
        <ns0:v>74</ns0:v>
      </ns0:c>
      <ns0:c r="D37" s="21" t="s">
        <ns0:v>75</ns0:v>
      </ns0:c>
      <ns0:c r="E37" s="25"/>
      <ns0:c r="F37" s="25"/>
      <ns0:c r="G37" s="25"/>
      <ns0:c r="H37" s="25"/>
      <ns0:c r="I37" s="27"/>
    </ns0:row>
    <ns0:row r="38" ht="48" customHeight="1" spans="1:9">
      <ns0:c r="A38" s="28">
        <ns0:v>3</ns0:v>
      </ns0:c>
      <ns0:c r="B38" s="28" t="s">
        <ns0:v>76</ns0:v>
      </ns0:c>
      <ns0:c r="C38" s="21" t="s">
        <ns0:v>77</ns0:v>
      </ns0:c>
      <ns0:c r="D38" s="21" t="s">
        <ns0:v>78</ns0:v>
      </ns0:c>
      <ns0:c r="E38" s="25"/>
      <ns0:c r="F38" s="25"/>
      <ns0:c r="G38" s="20">
        <ns0:v>16</ns0:v>
      </ns0:c>
      <ns0:c r="H38" s="22">
        <ns0:f xml:space="preserve">E30*G38</ns0:f>
        <ns0:v>44800</ns0:v>
      </ns0:c>
      <ns0:c r="I38" s="23" t="s">
        <ns0:v>79</ns0:v>
      </ns0:c>
    </ns0:row>
    <ns0:row r="39" ht="42" customHeight="1" spans="1:9">
      <ns0:c r="A39" s="25"/>
      <ns0:c r="B39" s="25"/>
      <ns0:c r="C39" s="21" t="s">
        <ns0:v>80</ns0:v>
      </ns0:c>
      <ns0:c r="D39" s="21" t="s">
        <ns0:v>81</ns0:v>
      </ns0:c>
      <ns0:c r="E39" s="25"/>
      <ns0:c r="F39" s="25"/>
      <ns0:c r="G39" s="25"/>
      <ns0:c r="H39" s="25"/>
      <ns0:c r="I39" s="26"/>
    </ns0:row>
    <ns0:row r="40" ht="43" customHeight="1" spans="1:9">
      <ns0:c r="A40" s="25"/>
      <ns0:c r="B40" s="25"/>
      <ns0:c r="C40" s="21" t="s">
        <ns0:v>82</ns0:v>
      </ns0:c>
      <ns0:c r="D40" s="21" t="s">
        <ns0:v>83</ns0:v>
      </ns0:c>
      <ns0:c r="E40" s="25"/>
      <ns0:c r="F40" s="25"/>
      <ns0:c r="G40" s="25"/>
      <ns0:c r="H40" s="25"/>
      <ns0:c r="I40" s="26"/>
    </ns0:row>
    <ns0:row r="41" ht="49" customHeight="1" spans="1:9">
      <ns0:c r="A41" s="29"/>
      <ns0:c r="B41" s="29"/>
      <ns0:c r="C41" s="21" t="s">
        <ns0:v>84</ns0:v>
      </ns0:c>
      <ns0:c r="D41" s="21" t="s">
        <ns0:v>85</ns0:v>
      </ns0:c>
      <ns0:c r="E41" s="25"/>
      <ns0:c r="F41" s="25"/>
      <ns0:c r="G41" s="25"/>
      <ns0:c r="H41" s="25"/>
      <ns0:c r="I41" s="27"/>
    </ns0:row>
    <ns0:row r="42" ht="22" customHeight="1" spans="1:9">
      <ns0:c r="A42" s="30"/>
      <ns0:c r="B42" s="31"/>
      <ns0:c r="C42" s="31"/>
      <ns0:c r="D42" s="31"/>
      <ns0:c r="E42" s="32"/>
      <ns0:c r="F42" s="33"/>
      <ns0:c r="G42" s="34" t="s">
        <ns0:v>54</ns0:v>
      </ns0:c>
      <ns0:c r="H42" s="35">
        <ns0:f xml:space="preserve">SUM(H30:H41)</ns0:f>
        <ns0:v>156800</ns0:v>
      </ns0:c>
      <ns0:c r="I42" s="36"/>
    </ns0:row>
    <ns0:row r="43" ht="14" customHeight="1" spans="1:9">
      <ns0:c r="A43" s="37"/>
      <ns0:c r="B43" s="38"/>
      <ns0:c r="C43" s="38"/>
      <ns0:c r="D43" s="38"/>
      <ns0:c r="E43" s="38"/>
      <ns0:c r="F43" s="38"/>
      <ns0:c r="G43" s="38"/>
      <ns0:c r="H43" s="38"/>
      <ns0:c r="I43" s="39"/>
    </ns0:row>
    <ns0:row r="44" ht="18" customHeight="1" spans="1:9">
      <ns0:c r="A44" s="40"/>
      <ns0:c r="B44" s="40"/>
      <ns0:c r="C44" s="40"/>
      <ns0:c r="D44" s="40"/>
      <ns0:c r="E44" s="40"/>
      <ns0:c r="F44" s="40"/>
      <ns0:c r="G44" s="40"/>
      <ns0:c r="H44" s="40"/>
      <ns0:c r="I44" s="40"/>
    </ns0:row>
    <ns0:row r="45" ht="35" customHeight="1" spans="1:9">
      <ns0:c r="A45" s="10" t="s">
        <ns0:v>86</ns0:v>
      </ns0:c>
      <ns0:c r="B45" s="11"/>
      <ns0:c r="C45" s="11"/>
      <ns0:c r="D45" s="11"/>
      <ns0:c r="E45" s="11"/>
      <ns0:c r="F45" s="11"/>
      <ns0:c r="G45" s="11"/>
      <ns0:c r="H45" s="11"/>
      <ns0:c r="I45" s="12"/>
    </ns0:row>
    <ns0:row r="46" ht="30" customHeight="1" spans="1:9">
      <ns0:c r="A46" s="13" t="s">
        <ns0:v>14</ns0:v>
      </ns0:c>
      <ns0:c r="B46" s="14" t="s">
        <ns0:v>15</ns0:v>
      </ns0:c>
      <ns0:c r="C46" s="15" t="s">
        <ns0:v>16</ns0:v>
      </ns0:c>
      <ns0:c r="D46" s="16" t="s">
        <ns0:v>17</ns0:v>
      </ns0:c>
      <ns0:c r="E46" s="14" t="s">
        <ns0:v>18</ns0:v>
      </ns0:c>
      <ns0:c r="F46" s="14" t="s">
        <ns0:v>19</ns0:v>
      </ns0:c>
      <ns0:c r="G46" s="17" t="s">
        <ns0:v>20</ns0:v>
      </ns0:c>
      <ns0:c r="H46" s="14" t="s">
        <ns0:v>21</ns0:v>
      </ns0:c>
      <ns0:c r="I46" s="18" t="s">
        <ns0:v>22</ns0:v>
      </ns0:c>
    </ns0:row>
    <ns0:row r="47" ht="45" customHeight="1" spans="1:9">
      <ns0:c r="A47" s="19">
        <ns0:v>1</ns0:v>
      </ns0:c>
      <ns0:c r="B47" s="20" t="s">
        <ns0:v>87</ns0:v>
      </ns0:c>
      <ns0:c r="C47" s="21" t="s">
        <ns0:v>88</ns0:v>
      </ns0:c>
      <ns0:c r="D47" s="21" t="s">
        <ns0:v>89</ns0:v>
      </ns0:c>
      <ns0:c r="E47" s="20">
        <ns0:v>2800</ns0:v>
      </ns0:c>
      <ns0:c r="F47" s="20" t="s">
        <ns0:v>26</ns0:v>
      </ns0:c>
      <ns0:c r="G47" s="20">
        <ns0:v>18</ns0:v>
      </ns0:c>
      <ns0:c r="H47" s="22">
        <ns0:f xml:space="preserve">G47*E47</ns0:f>
        <ns0:v>50400</ns0:v>
      </ns0:c>
      <ns0:c r="I47" s="23" t="s">
        <ns0:v>90</ns0:v>
      </ns0:c>
    </ns0:row>
    <ns0:row r="48" ht="40" customHeight="1" spans="1:9">
      <ns0:c r="A48" s="24"/>
      <ns0:c r="B48" s="25"/>
      <ns0:c r="C48" s="21" t="s">
        <ns0:v>91</ns0:v>
      </ns0:c>
      <ns0:c r="D48" s="21" t="s">
        <ns0:v>92</ns0:v>
      </ns0:c>
      <ns0:c r="E48" s="25"/>
      <ns0:c r="F48" s="25"/>
      <ns0:c r="G48" s="25"/>
      <ns0:c r="H48" s="25"/>
      <ns0:c r="I48" s="26"/>
    </ns0:row>
    <ns0:row r="49" ht="38" customHeight="1" spans="1:9">
      <ns0:c r="A49" s="24"/>
      <ns0:c r="B49" s="25"/>
      <ns0:c r="C49" s="21" t="s">
        <ns0:v>93</ns0:v>
      </ns0:c>
      <ns0:c r="D49" s="21" t="s">
        <ns0:v>94</ns0:v>
      </ns0:c>
      <ns0:c r="E49" s="25"/>
      <ns0:c r="F49" s="25"/>
      <ns0:c r="G49" s="25"/>
      <ns0:c r="H49" s="25"/>
      <ns0:c r="I49" s="26"/>
    </ns0:row>
    <ns0:row r="50" ht="42" customHeight="1" spans="1:9">
      <ns0:c r="A50" s="24"/>
      <ns0:c r="B50" s="25"/>
      <ns0:c r="C50" s="21" t="s">
        <ns0:v>95</ns0:v>
      </ns0:c>
      <ns0:c r="D50" s="21" t="s">
        <ns0:v>96</ns0:v>
      </ns0:c>
      <ns0:c r="E50" s="25"/>
      <ns0:c r="F50" s="25"/>
      <ns0:c r="G50" s="25"/>
      <ns0:c r="H50" s="25"/>
      <ns0:c r="I50" s="27"/>
    </ns0:row>
    <ns0:row r="51" ht="48" customHeight="1" spans="1:9">
      <ns0:c r="A51" s="28">
        <ns0:v>2</ns0:v>
      </ns0:c>
      <ns0:c r="B51" s="28" t="s">
        <ns0:v>97</ns0:v>
      </ns0:c>
      <ns0:c r="C51" s="21" t="s">
        <ns0:v>98</ns0:v>
      </ns0:c>
      <ns0:c r="D51" s="21" t="s">
        <ns0:v>99</ns0:v>
      </ns0:c>
      <ns0:c r="E51" s="25"/>
      <ns0:c r="F51" s="25"/>
      <ns0:c r="G51" s="20">
        <ns0:v>15</ns0:v>
      </ns0:c>
      <ns0:c r="H51" s="22">
        <ns0:f xml:space="preserve">E47*G51</ns0:f>
        <ns0:v>42000</ns0:v>
      </ns0:c>
      <ns0:c r="I51" s="23" t="s">
        <ns0:v>100</ns0:v>
      </ns0:c>
    </ns0:row>
    <ns0:row r="52" ht="55" customHeight="1" spans="1:9">
      <ns0:c r="A52" s="25"/>
      <ns0:c r="B52" s="25"/>
      <ns0:c r="C52" s="21" t="s">
        <ns0:v>101</ns0:v>
      </ns0:c>
      <ns0:c r="D52" s="21" t="s">
        <ns0:v>102</ns0:v>
      </ns0:c>
      <ns0:c r="E52" s="25"/>
      <ns0:c r="F52" s="25"/>
      <ns0:c r="G52" s="25"/>
      <ns0:c r="H52" s="25"/>
      <ns0:c r="I52" s="26"/>
    </ns0:row>
    <ns0:row r="53" ht="47" customHeight="1" spans="1:9">
      <ns0:c r="A53" s="25"/>
      <ns0:c r="B53" s="25"/>
      <ns0:c r="C53" s="21" t="s">
        <ns0:v>103</ns0:v>
      </ns0:c>
      <ns0:c r="D53" s="21" t="s">
        <ns0:v>104</ns0:v>
      </ns0:c>
      <ns0:c r="E53" s="25"/>
      <ns0:c r="F53" s="25"/>
      <ns0:c r="G53" s="25"/>
      <ns0:c r="H53" s="25"/>
      <ns0:c r="I53" s="26"/>
    </ns0:row>
    <ns0:row r="54" ht="58" customHeight="1" spans="1:9">
      <ns0:c r="A54" s="29"/>
      <ns0:c r="B54" s="29"/>
      <ns0:c r="C54" s="21" t="s">
        <ns0:v>105</ns0:v>
      </ns0:c>
      <ns0:c r="D54" s="21" t="s">
        <ns0:v>106</ns0:v>
      </ns0:c>
      <ns0:c r="E54" s="25"/>
      <ns0:c r="F54" s="25"/>
      <ns0:c r="G54" s="25"/>
      <ns0:c r="H54" s="25"/>
      <ns0:c r="I54" s="27"/>
    </ns0:row>
    <ns0:row r="55" ht="22" customHeight="1" spans="1:9">
      <ns0:c r="A55" s="30"/>
      <ns0:c r="B55" s="31"/>
      <ns0:c r="C55" s="31"/>
      <ns0:c r="D55" s="31"/>
      <ns0:c r="E55" s="32"/>
      <ns0:c r="F55" s="33"/>
      <ns0:c r="G55" s="34" t="s">
        <ns0:v>54</ns0:v>
      </ns0:c>
      <ns0:c r="H55" s="35">
        <ns0:f xml:space="preserve">SUM(H47:H54)</ns0:f>
        <ns0:v>92400</ns0:v>
      </ns0:c>
      <ns0:c r="I55" s="36"/>
    </ns0:row>
    <ns0:row r="56" ht="14" customHeight="1" spans="1:9">
      <ns0:c r="A56" s="37"/>
      <ns0:c r="B56" s="38"/>
      <ns0:c r="C56" s="38"/>
      <ns0:c r="D56" s="38"/>
      <ns0:c r="E56" s="38"/>
      <ns0:c r="F56" s="38"/>
      <ns0:c r="G56" s="38"/>
      <ns0:c r="H56" s="38"/>
      <ns0:c r="I56" s="39"/>
    </ns0:row>
    <ns0:row r="57" ht="18" customHeight="1" spans="1:9">
      <ns0:c r="A57" s="40"/>
      <ns0:c r="B57" s="40"/>
      <ns0:c r="C57" s="40"/>
      <ns0:c r="D57" s="40"/>
      <ns0:c r="E57" s="40"/>
      <ns0:c r="F57" s="40"/>
      <ns0:c r="G57" s="40"/>
      <ns0:c r="H57" s="40"/>
      <ns0:c r="I57" s="40"/>
    </ns0:row>
    <ns0:row r="58" ht="35" customHeight="1" spans="1:9">
      <ns0:c r="A58" s="10" t="s">
        <ns0:v>107</ns0:v>
      </ns0:c>
      <ns0:c r="B58" s="11"/>
      <ns0:c r="C58" s="11"/>
      <ns0:c r="D58" s="11"/>
      <ns0:c r="E58" s="11"/>
      <ns0:c r="F58" s="11"/>
      <ns0:c r="G58" s="11"/>
      <ns0:c r="H58" s="11"/>
      <ns0:c r="I58" s="12"/>
    </ns0:row>
    <ns0:row r="59" ht="30" customHeight="1" spans="1:9">
      <ns0:c r="A59" s="13" t="s">
        <ns0:v>14</ns0:v>
      </ns0:c>
      <ns0:c r="B59" s="14" t="s">
        <ns0:v>15</ns0:v>
      </ns0:c>
      <ns0:c r="C59" s="15" t="s">
        <ns0:v>16</ns0:v>
      </ns0:c>
      <ns0:c r="D59" s="16" t="s">
        <ns0:v>17</ns0:v>
      </ns0:c>
      <ns0:c r="E59" s="14" t="s">
        <ns0:v>18</ns0:v>
      </ns0:c>
      <ns0:c r="F59" s="14" t="s">
        <ns0:v>19</ns0:v>
      </ns0:c>
      <ns0:c r="G59" s="17" t="s">
        <ns0:v>20</ns0:v>
      </ns0:c>
      <ns0:c r="H59" s="14" t="s">
        <ns0:v>21</ns0:v>
      </ns0:c>
      <ns0:c r="I59" s="18" t="s">
        <ns0:v>22</ns0:v>
      </ns0:c>
    </ns0:row>
    <ns0:row r="60" ht="45" customHeight="1" spans="1:9">
      <ns0:c r="A60" s="19">
        <ns0:v>1</ns0:v>
      </ns0:c>
      <ns0:c r="B60" s="20" t="s">
        <ns0:v>108</ns0:v>
      </ns0:c>
      <ns0:c r="C60" s="21" t="s">
        <ns0:v>109</ns0:v>
      </ns0:c>
      <ns0:c r="D60" s="21" t="s">
        <ns0:v>110</ns0:v>
      </ns0:c>
      <ns0:c r="E60" s="20">
        <ns0:v>2800</ns0:v>
      </ns0:c>
      <ns0:c r="F60" s="20" t="s">
        <ns0:v>26</ns0:v>
      </ns0:c>
      <ns0:c r="G60" s="20">
        <ns0:v>16</ns0:v>
      </ns0:c>
      <ns0:c r="H60" s="22">
        <ns0:f xml:space="preserve">G60*E60</ns0:f>
        <ns0:v>44800</ns0:v>
      </ns0:c>
      <ns0:c r="I60" s="23" t="s">
        <ns0:v>111</ns0:v>
      </ns0:c>
    </ns0:row>
    <ns0:row r="61" ht="52" customHeight="1" spans="1:9">
      <ns0:c r="A61" s="24"/>
      <ns0:c r="B61" s="25"/>
      <ns0:c r="C61" s="21" t="s">
        <ns0:v>112</ns0:v>
      </ns0:c>
      <ns0:c r="D61" s="21" t="s">
        <ns0:v>113</ns0:v>
      </ns0:c>
      <ns0:c r="E61" s="25"/>
      <ns0:c r="F61" s="25"/>
      <ns0:c r="G61" s="25"/>
      <ns0:c r="H61" s="25"/>
      <ns0:c r="I61" s="26"/>
    </ns0:row>
    <ns0:row r="62" ht="43" customHeight="1" spans="1:9">
      <ns0:c r="A62" s="24"/>
      <ns0:c r="B62" s="25"/>
      <ns0:c r="C62" s="21" t="s">
        <ns0:v>114</ns0:v>
      </ns0:c>
      <ns0:c r="D62" s="21" t="s">
        <ns0:v>115</ns0:v>
      </ns0:c>
      <ns0:c r="E62" s="25"/>
      <ns0:c r="F62" s="25"/>
      <ns0:c r="G62" s="25"/>
      <ns0:c r="H62" s="25"/>
      <ns0:c r="I62" s="27"/>
    </ns0:row>
    <ns0:row r="63" ht="56" customHeight="1" spans="1:9">
      <ns0:c r="A63" s="20">
        <ns0:v>2</ns0:v>
      </ns0:c>
      <ns0:c r="B63" s="20" t="s">
        <ns0:v>116</ns0:v>
      </ns0:c>
      <ns0:c r="C63" s="21" t="s">
        <ns0:v>117</ns0:v>
      </ns0:c>
      <ns0:c r="D63" s="21" t="s">
        <ns0:v>118</ns0:v>
      </ns0:c>
      <ns0:c r="E63" s="25"/>
      <ns0:c r="F63" s="25"/>
      <ns0:c r="G63" s="20">
        <ns0:v>15</ns0:v>
      </ns0:c>
      <ns0:c r="H63" s="22">
        <ns0:f xml:space="preserve">E60*G63</ns0:f>
        <ns0:v>42000</ns0:v>
      </ns0:c>
      <ns0:c r="I63" s="23" t="s">
        <ns0:v>119</ns0:v>
      </ns0:c>
    </ns0:row>
    <ns0:row r="64" ht="45" customHeight="1" spans="1:9">
      <ns0:c r="A64" s="25"/>
      <ns0:c r="B64" s="25"/>
      <ns0:c r="C64" s="21" t="s">
        <ns0:v>120</ns0:v>
      </ns0:c>
      <ns0:c r="D64" s="21" t="s">
        <ns0:v>121</ns0:v>
      </ns0:c>
      <ns0:c r="E64" s="25"/>
      <ns0:c r="F64" s="25"/>
      <ns0:c r="G64" s="25"/>
      <ns0:c r="H64" s="25"/>
      <ns0:c r="I64" s="26"/>
    </ns0:row>
    <ns0:row r="65" ht="42" customHeight="1" spans="1:9">
      <ns0:c r="A65" s="25"/>
      <ns0:c r="B65" s="25"/>
      <ns0:c r="C65" s="21" t="s">
        <ns0:v>122</ns0:v>
      </ns0:c>
      <ns0:c r="D65" s="21" t="s">
        <ns0:v>123</ns0:v>
      </ns0:c>
      <ns0:c r="E65" s="25"/>
      <ns0:c r="F65" s="25"/>
      <ns0:c r="G65" s="25"/>
      <ns0:c r="H65" s="25"/>
      <ns0:c r="I65" s="27"/>
    </ns0:row>
    <ns0:row r="66" ht="45" customHeight="1" spans="1:9">
      <ns0:c r="A66" s="28">
        <ns0:v>3</ns0:v>
      </ns0:c>
      <ns0:c r="B66" s="28" t="s">
        <ns0:v>124</ns0:v>
      </ns0:c>
      <ns0:c r="C66" s="21" t="s">
        <ns0:v>125</ns0:v>
      </ns0:c>
      <ns0:c r="D66" s="21" t="s">
        <ns0:v>126</ns0:v>
      </ns0:c>
      <ns0:c r="E66" s="25"/>
      <ns0:c r="F66" s="25"/>
      <ns0:c r="G66" s="20">
        <ns0:v>11</ns0:v>
      </ns0:c>
      <ns0:c r="H66" s="22">
        <ns0:f xml:space="preserve">E60*G66</ns0:f>
        <ns0:v>30800</ns0:v>
      </ns0:c>
      <ns0:c r="I66" s="23" t="s">
        <ns0:v>127</ns0:v>
      </ns0:c>
    </ns0:row>
    <ns0:row r="67" ht="45" customHeight="1" spans="1:9">
      <ns0:c r="A67" s="29"/>
      <ns0:c r="B67" s="29"/>
      <ns0:c r="C67" s="21" t="s">
        <ns0:v>128</ns0:v>
      </ns0:c>
      <ns0:c r="D67" s="21" t="s">
        <ns0:v>129</ns0:v>
      </ns0:c>
      <ns0:c r="E67" s="25"/>
      <ns0:c r="F67" s="25"/>
      <ns0:c r="G67" s="25"/>
      <ns0:c r="H67" s="25"/>
      <ns0:c r="I67" s="27"/>
    </ns0:row>
    <ns0:row r="68" ht="22" customHeight="1" spans="1:9">
      <ns0:c r="A68" s="30"/>
      <ns0:c r="B68" s="31"/>
      <ns0:c r="C68" s="31"/>
      <ns0:c r="D68" s="31"/>
      <ns0:c r="E68" s="32"/>
      <ns0:c r="F68" s="33"/>
      <ns0:c r="G68" s="34" t="s">
        <ns0:v>54</ns0:v>
      </ns0:c>
      <ns0:c r="H68" s="35">
        <ns0:f xml:space="preserve">SUM(H60:H67)</ns0:f>
        <ns0:v>117600</ns0:v>
      </ns0:c>
      <ns0:c r="I68" s="36"/>
    </ns0:row>
    <ns0:row r="69" ht="26" customHeight="1" spans="1:9">
      <ns0:c r="A69" s="30"/>
      <ns0:c r="B69" s="31"/>
      <ns0:c r="C69" s="31"/>
      <ns0:c r="D69" s="31"/>
      <ns0:c r="E69" s="32"/>
      <ns0:c r="F69" s="33"/>
      <ns0:c r="G69" s="34" t="s">
        <ns0:v>130</ns0:v>
      </ns0:c>
      <ns0:c r="H69" s="35">
        <ns0:f xml:space="preserve">H25+H42+H55+H68</ns0:f>
        <ns0:v>504000</ns0:v>
      </ns0:c>
      <ns0:c r="I69" s="36"/>
    </ns0:row>
  </ns0:sheetData>
  <ns0:mergeCells count="77">
    <ns0:mergeCell ref="A1:I1"/>
    <ns0:mergeCell ref="A5:E5"/>
    <ns0:mergeCell ref="A6:E6"/>
    <ns0:mergeCell ref="A7:E7"/>
    <ns0:mergeCell ref="A11:I11"/>
    <ns0:mergeCell ref="A25:E25"/>
    <ns0:mergeCell ref="A28:I28"/>
    <ns0:mergeCell ref="A42:E42"/>
    <ns0:mergeCell ref="A45:I45"/>
    <ns0:mergeCell ref="A55:E55"/>
    <ns0:mergeCell ref="A58:I58"/>
    <ns0:mergeCell ref="A68:E68"/>
    <ns0:mergeCell ref="A69:E69"/>
    <ns0:mergeCell ref="A13:A17"/>
    <ns0:mergeCell ref="A18:A21"/>
    <ns0:mergeCell ref="A22:A24"/>
    <ns0:mergeCell ref="A30:A33"/>
    <ns0:mergeCell ref="A34:A37"/>
    <ns0:mergeCell ref="A38:A41"/>
    <ns0:mergeCell ref="A47:A50"/>
    <ns0:mergeCell ref="A51:A54"/>
    <ns0:mergeCell ref="A60:A62"/>
    <ns0:mergeCell ref="A63:A65"/>
    <ns0:mergeCell ref="A66:A67"/>
    <ns0:mergeCell ref="B13:B17"/>
    <ns0:mergeCell ref="B18:B21"/>
    <ns0:mergeCell ref="B22:B24"/>
    <ns0:mergeCell ref="B30:B33"/>
    <ns0:mergeCell ref="B34:B37"/>
    <ns0:mergeCell ref="B38:B41"/>
    <ns0:mergeCell ref="B47:B50"/>
    <ns0:mergeCell ref="B51:B54"/>
    <ns0:mergeCell ref="B60:B62"/>
    <ns0:mergeCell ref="B63:B65"/>
    <ns0:mergeCell ref="B66:B67"/>
    <ns0:mergeCell ref="E13:E24"/>
    <ns0:mergeCell ref="E30:E41"/>
    <ns0:mergeCell ref="E47:E54"/>
    <ns0:mergeCell ref="E60:E67"/>
    <ns0:mergeCell ref="F13:F24"/>
    <ns0:mergeCell ref="F30:F41"/>
    <ns0:mergeCell ref="F47:F54"/>
    <ns0:mergeCell ref="F60:F67"/>
    <ns0:mergeCell ref="G13:G17"/>
    <ns0:mergeCell ref="G18:G21"/>
    <ns0:mergeCell ref="G22:G24"/>
    <ns0:mergeCell ref="G30:G33"/>
    <ns0:mergeCell ref="G34:G37"/>
    <ns0:mergeCell ref="G38:G41"/>
    <ns0:mergeCell ref="G47:G50"/>
    <ns0:mergeCell ref="G51:G54"/>
    <ns0:mergeCell ref="G60:G62"/>
    <ns0:mergeCell ref="G63:G65"/>
    <ns0:mergeCell ref="G66:G67"/>
    <ns0:mergeCell ref="H13:H17"/>
    <ns0:mergeCell ref="H18:H21"/>
    <ns0:mergeCell ref="H22:H24"/>
    <ns0:mergeCell ref="H30:H33"/>
    <ns0:mergeCell ref="H34:H37"/>
    <ns0:mergeCell ref="H38:H41"/>
    <ns0:mergeCell ref="H47:H50"/>
    <ns0:mergeCell ref="H51:H54"/>
    <ns0:mergeCell ref="H60:H62"/>
    <ns0:mergeCell ref="H63:H65"/>
    <ns0:mergeCell ref="H66:H67"/>
    <ns0:mergeCell ref="I13:I17"/>
    <ns0:mergeCell ref="I18:I21"/>
    <ns0:mergeCell ref="I22:I24"/>
    <ns0:mergeCell ref="I30:I33"/>
    <ns0:mergeCell ref="I34:I37"/>
    <ns0:mergeCell ref="I38:I41"/>
    <ns0:mergeCell ref="I47:I50"/>
    <ns0:mergeCell ref="I51:I54"/>
    <ns0:mergeCell ref="I60:I62"/>
    <ns0:mergeCell ref="I63:I65"/>
    <ns0:mergeCell ref="I66:I67"/>
    <ns0:mergeCell ref="A2:E4"/>
  </ns0:mergeCells>
  <ns0:printOptions horizontalCentered="1"/>
  <ns0:pageMargins left="0.708661417322835" right="0.708661417322835" top="0.748031496062992" bottom="0.748031496062992" header="0.31496062992126" footer="0.31496062992126"/>
  <ns0:pageSetup paperSize="9" scale="38" orientation="portrait"/>
  <ns0:headerFooter/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机器人焊接离线编程系统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</dc:creator>
  <cp:lastModifiedBy>David YZ</cp:lastModifiedBy>
  <dcterms:created xsi:type="dcterms:W3CDTF">2015-06-05T18:19:00Z</dcterms:created>
  <cp:lastPrinted>2025-06-05T02:21:00Z</cp:lastPrinted>
  <dcterms:modified xsi:type="dcterms:W3CDTF">2026-10-21T03:14:48Z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A808AD3727244AFD88BE91E2856FDEC6_13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